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DE EVALUACIONES" sheetId="1" r:id="rId4"/>
    <sheet state="visible" name="REGISTRO COMPLETO (SÍLABO)" sheetId="2" r:id="rId5"/>
    <sheet state="visible" name="CONTROL DE PARTICIPACIONES" sheetId="3" r:id="rId6"/>
    <sheet state="visible" name="ASISTENCIA SEPTIEMBRE" sheetId="4" r:id="rId7"/>
    <sheet state="visible" name="ASISTENCIA OCTUBRE" sheetId="5" r:id="rId8"/>
    <sheet state="visible" name="DATOS Y RÚBRICA" sheetId="6" r:id="rId9"/>
  </sheets>
  <definedNames/>
  <calcPr/>
  <extLst>
    <ext uri="GoogleSheetsCustomDataVersion2">
      <go:sheetsCustomData xmlns:go="http://customooxmlschemas.google.com/" r:id="rId10" roundtripDataChecksum="bw2q0NEkGYHuGFcwyD26TgB+dDSnB55TWgp+z1P0jgc="/>
    </ext>
  </extLst>
</workbook>
</file>

<file path=xl/sharedStrings.xml><?xml version="1.0" encoding="utf-8"?>
<sst xmlns="http://schemas.openxmlformats.org/spreadsheetml/2006/main" count="414" uniqueCount="210">
  <si>
    <t>CENTRO DE INFORMÁTICA USS (CINF - PROTECH XP)</t>
  </si>
  <si>
    <t>CRONOGRAMA OFICIAL DE CLASES, TALLERES Y EXÁMENES ONLINE — DISEÑO WEB</t>
  </si>
  <si>
    <t>Horario: Martes y Jueves | Inicio: 15 de Septiembre de 2026 | Modalidad: Presencial / Virtual</t>
  </si>
  <si>
    <t>FECHAS CLAVE DE EVALUACIÓN (CUÁNDO SE RINDEN LOS EXÁMENES Y TALLERES)</t>
  </si>
  <si>
    <t>TALLER ONLINE 1 [TA1]</t>
  </si>
  <si>
    <t>15%</t>
  </si>
  <si>
    <t>JUEVES 01 DE OCTUBRE</t>
  </si>
  <si>
    <t>Sesión 6</t>
  </si>
  <si>
    <t>Formularios HTML5 y validación en Aula Virtual</t>
  </si>
  <si>
    <t>TALLER ONLINE 2 [TA2]</t>
  </si>
  <si>
    <t>JUEVES 22 DE OCTUBRE</t>
  </si>
  <si>
    <t>Sesión 12</t>
  </si>
  <si>
    <t>Diseño Web Responsivo (Media Queries) en Aula Virtual</t>
  </si>
  <si>
    <t>PROYECTO WEB INTEGRADOR</t>
  </si>
  <si>
    <t>—</t>
  </si>
  <si>
    <t>MARTES 03 DE NOVIEMBRE</t>
  </si>
  <si>
    <t>Sesión 15</t>
  </si>
  <si>
    <t>Revisión final y despliegue del sitio web completo</t>
  </si>
  <si>
    <t>EXAMEN FINAL [EF]</t>
  </si>
  <si>
    <t>30%</t>
  </si>
  <si>
    <t>JUEVES 05 DE NOVIEMBRE</t>
  </si>
  <si>
    <t>Sesión 16</t>
  </si>
  <si>
    <t>Evaluación Integradora en Aula Virtual USS</t>
  </si>
  <si>
    <t>PARTICIPACIÓN EN AULA [PA]</t>
  </si>
  <si>
    <t>40%</t>
  </si>
  <si>
    <t>CONTINUA (TODAS LAS CLASES)</t>
  </si>
  <si>
    <t>Sesión 1 al 16</t>
  </si>
  <si>
    <t>Intervenciones, talleres prácticos y actitud proactiva</t>
  </si>
  <si>
    <t>CRONOGRAMA DETALLADO DE LAS 16 SESIONES (SÍLABO DE DISEÑO WEB)</t>
  </si>
  <si>
    <t>SESIÓN</t>
  </si>
  <si>
    <t>DÍA</t>
  </si>
  <si>
    <t>FECHA</t>
  </si>
  <si>
    <t>TEMA SEGÚN SÍLABO OFICIAL USS</t>
  </si>
  <si>
    <t>ACTIVIDAD / EVALUACIÓN</t>
  </si>
  <si>
    <t>PESO (%)</t>
  </si>
  <si>
    <t>MODALIDAD / LUGAR</t>
  </si>
  <si>
    <t>Sesión 1</t>
  </si>
  <si>
    <t>M</t>
  </si>
  <si>
    <t>15/09</t>
  </si>
  <si>
    <t>Presentación y Marco de Diseño Web</t>
  </si>
  <si>
    <t>Participación [P]</t>
  </si>
  <si>
    <t>40% [P]</t>
  </si>
  <si>
    <t>Clase Sincrónica (Zoom / Aula)</t>
  </si>
  <si>
    <t>Sesión 2</t>
  </si>
  <si>
    <t>J</t>
  </si>
  <si>
    <t>17/09</t>
  </si>
  <si>
    <t>HTML5 y Estructura Semántica</t>
  </si>
  <si>
    <t>Sesión 3</t>
  </si>
  <si>
    <t>22/09</t>
  </si>
  <si>
    <t>Maquetación Semántica (&lt;header&gt;, &lt;nav&gt;)</t>
  </si>
  <si>
    <t>Sesión 4</t>
  </si>
  <si>
    <t>24/09</t>
  </si>
  <si>
    <t>Multimedia y Enlaces en HTML5</t>
  </si>
  <si>
    <t>Sesión 5</t>
  </si>
  <si>
    <t>29/09</t>
  </si>
  <si>
    <t>Tablas en HTML5 y Accesibilidad</t>
  </si>
  <si>
    <t>01/10</t>
  </si>
  <si>
    <t>Formularios HTML5 / Taller Online TA1</t>
  </si>
  <si>
    <t>TALLER ONLINE 1 (15%)</t>
  </si>
  <si>
    <t>Aula Virtual USS (Online)</t>
  </si>
  <si>
    <t>Sesión 7</t>
  </si>
  <si>
    <t>06/10</t>
  </si>
  <si>
    <t>Multimedia Avanzado (&lt;video&gt;, &lt;audio&gt;)</t>
  </si>
  <si>
    <t>Sesión 8</t>
  </si>
  <si>
    <t>08/10</t>
  </si>
  <si>
    <t>Introducción a CSS3 y Selectores</t>
  </si>
  <si>
    <t>Sesión 9</t>
  </si>
  <si>
    <t>13/10</t>
  </si>
  <si>
    <t>Propiedades Básicas de CSS3</t>
  </si>
  <si>
    <t>Sesión 10</t>
  </si>
  <si>
    <t>15/10</t>
  </si>
  <si>
    <t>CSS3: Modelos de Caja, Flexbox y Grid</t>
  </si>
  <si>
    <t>Sesión 11</t>
  </si>
  <si>
    <t>20/10</t>
  </si>
  <si>
    <t>Animaciones y Transiciones CSS3</t>
  </si>
  <si>
    <t>22/10</t>
  </si>
  <si>
    <t>Responsive Design / Taller Online TA2</t>
  </si>
  <si>
    <t>TALLER ONLINE 2 (15%)</t>
  </si>
  <si>
    <t>Sesión 13</t>
  </si>
  <si>
    <t>27/10</t>
  </si>
  <si>
    <t>Introducción a Bootstrap y Grillas</t>
  </si>
  <si>
    <t>Sesión 14</t>
  </si>
  <si>
    <t>29/10</t>
  </si>
  <si>
    <t>Bootstrap Avanzado (Modales, Menús)</t>
  </si>
  <si>
    <t>03/11</t>
  </si>
  <si>
    <t>Proyecto Integrador: Pruebas y Despliegue</t>
  </si>
  <si>
    <t>Proyecto Integrador</t>
  </si>
  <si>
    <t>05/11</t>
  </si>
  <si>
    <t>Examen Final [EF] Evaluación Integradora</t>
  </si>
  <si>
    <t>EXAMEN FINAL (30%)</t>
  </si>
  <si>
    <t>REGLAMENTO ACADÉMICO USS: 1. Asistencia mínima del 80% requerida para no quedar inhabilitado (DPI).  2. Talleres online no rendidos requieren justificación y pago de derecho CIS (S/ 20.00).</t>
  </si>
  <si>
    <t>REGISTRO INTEGRAL</t>
  </si>
  <si>
    <t>CURSO: DISEÑO WEB (72 HRS) — CENTRO DE INFORMÁTICA USS | HORARIO: MARTES Y JUEVES</t>
  </si>
  <si>
    <t>FECHAS CLAVE: TA1 (01/10) | TA2 (22/10) | EXAMEN FINAL (05/11)</t>
  </si>
  <si>
    <t>DOCENTE: CHUMAN LLUEN DAGNER ANIBAL</t>
  </si>
  <si>
    <t>GRUPO: CINF USS | INICIO: MAR 15/09/2026</t>
  </si>
  <si>
    <t>FÓRMULA SÍLABO: PROMEDIO = 40% PA + 15% TA1 + 15% TA2 + 30% EF</t>
  </si>
  <si>
    <t>DATOS DEL ALUMNO</t>
  </si>
  <si>
    <t>CONTROL DE ASISTENCIA SESIÓN POR SESIÓN (16 SESIONES: MAR 15/09 AL JUE 05/11)</t>
  </si>
  <si>
    <t>ASISTENCIA</t>
  </si>
  <si>
    <t>PARTICIPACIÓN [40%]</t>
  </si>
  <si>
    <t>EXÁMENES Y TALLERES ONLINE</t>
  </si>
  <si>
    <t>PROMEDIO FINAL</t>
  </si>
  <si>
    <t>NO</t>
  </si>
  <si>
    <t>APELLIDOS Y NOMBRES</t>
  </si>
  <si>
    <t>15/09
M</t>
  </si>
  <si>
    <t>17/09
J</t>
  </si>
  <si>
    <t>22/09
M</t>
  </si>
  <si>
    <t>24/09
J</t>
  </si>
  <si>
    <t>29/09
M</t>
  </si>
  <si>
    <t>01/10
TA1 (15%)</t>
  </si>
  <si>
    <t>06/10
M</t>
  </si>
  <si>
    <t>08/10
J</t>
  </si>
  <si>
    <t>13/10
M</t>
  </si>
  <si>
    <t>15/10
J</t>
  </si>
  <si>
    <t>20/10
M</t>
  </si>
  <si>
    <t>22/10
TA2 (15%)</t>
  </si>
  <si>
    <t>27/10
M</t>
  </si>
  <si>
    <t>29/10
J</t>
  </si>
  <si>
    <t>03/11
M</t>
  </si>
  <si>
    <t>05/11
EF (30%)</t>
  </si>
  <si>
    <t>% ASIST</t>
  </si>
  <si>
    <t>CONDICIÓN</t>
  </si>
  <si>
    <t>TOTAL PART</t>
  </si>
  <si>
    <t>NOTA PA (40%)</t>
  </si>
  <si>
    <t>TA1 (15%)
01/10</t>
  </si>
  <si>
    <t>TA2 (15%)
22/10</t>
  </si>
  <si>
    <t>EF (30%)
05/11</t>
  </si>
  <si>
    <t>PROMEDIO</t>
  </si>
  <si>
    <t>ESTADO</t>
  </si>
  <si>
    <t>NURIED ARLET ATOCHE ORELLANA</t>
  </si>
  <si>
    <t>F</t>
  </si>
  <si>
    <t>A</t>
  </si>
  <si>
    <t>ESTHER ZULEYKA BAYONA PAREDES</t>
  </si>
  <si>
    <t>RODOLFO VALENTINO BONILLA VALLEJOS</t>
  </si>
  <si>
    <t>NATAN RAY CABRERA ACUÑA</t>
  </si>
  <si>
    <t>JOSE FABRICIO CASTAÑEDA COTRINA</t>
  </si>
  <si>
    <t>DAYHELI ANGELINE CASTILLO ARCELA</t>
  </si>
  <si>
    <t>JUAN D'ALESSANDRO CUSTODIO CAMPOS</t>
  </si>
  <si>
    <t>ANYILI PIERINA DIAZ CARRASCO</t>
  </si>
  <si>
    <t>CESAR ENRIQUE FARROÑAN SANCHEZ</t>
  </si>
  <si>
    <t>JOSUE ALBANO GALVEZ ODAR</t>
  </si>
  <si>
    <t>R</t>
  </si>
  <si>
    <t>HILDER YOSMAN LARA TINEO</t>
  </si>
  <si>
    <t>JENIFFER KIMBERLY MANAYALLE DELGADO</t>
  </si>
  <si>
    <t>JELBER MAYKOL RODRIGUEZ ALDAZ</t>
  </si>
  <si>
    <t>GRECIA CATHERINE SAMILLAN ALTAMIRANO</t>
  </si>
  <si>
    <t>SELENA MARICIELO TORO BOCANEGRA</t>
  </si>
  <si>
    <t>DANIEL ANTONIO VIDARTE VIDARTE</t>
  </si>
  <si>
    <t>ASISTENCIA DIARIAS / PROMEDIO</t>
  </si>
  <si>
    <t>RECORDATORIO</t>
  </si>
  <si>
    <t>Marque asistencia (A, F, R). Las notas de participación se calculan en la hoja 'CONTROL DE PARTICIPACIONES'. Las notas de TA1 (01/10), TA2 (22/10) y EF (05/11) se ingresan de 0 a 20.</t>
  </si>
  <si>
    <t>PARTICIPACIONES</t>
  </si>
  <si>
    <t>REGISTRO CONTINUO DE INTERVENCIONES EN AULA / VIRTUAL [PA: 40%] — DISEÑO WEB USS</t>
  </si>
  <si>
    <t>RÚBRICA USS: 0 Part = 05 pts | 1-3 Part = 07-10 pts | 4-7 Part = 11-16 pts | ≥8 Part = 17-20 pts</t>
  </si>
  <si>
    <t>INTERVENCIONES Y PARTICIPACIÓN DIARIA (16 SESIONES: 15/09 AL 05/11)</t>
  </si>
  <si>
    <t>CÁLCULO Y NOTA VIGESIMAL [PA: 40%]</t>
  </si>
  <si>
    <t>ASIST %</t>
  </si>
  <si>
    <t>DÍAS ACTIVO</t>
  </si>
  <si>
    <t>NOTA PA
(0 - 20)</t>
  </si>
  <si>
    <t>NIVEL DE LOGRO
(RÚBRICA USS)</t>
  </si>
  <si>
    <t>TOTAL INTERVENCIONES DEL DÍA</t>
  </si>
  <si>
    <t>INSTRUCCIONES</t>
  </si>
  <si>
    <t>Escriba el número de intervenciones en cada clase (ej: 1, 2). La nota vigesimal [PA: 40%] se calcula automáticamente en la columna W y se traslada al Promedio Final.</t>
  </si>
  <si>
    <t>ASISTENCIA SEPTIEMBRE</t>
  </si>
  <si>
    <t>MES DE SEPTIEMBRE 2026 — 5 CLASES (INICIA MAR 15/09)</t>
  </si>
  <si>
    <t>CURSO: DISEÑO WEB (PROTECH XP - CINF USS) | MARTES Y JUEVES</t>
  </si>
  <si>
    <t>SEMANAS DE SEPTIEMBRE</t>
  </si>
  <si>
    <t>MIN 80%</t>
  </si>
  <si>
    <t>HABILITADO</t>
  </si>
  <si>
    <t>ASISTENCIA OCTUBRE</t>
  </si>
  <si>
    <t>MES DE OCTUBRE 2026 — 9 CLASES | EVALUACIONES ONLINE: TA1 (01/10) Y TA2 (22/10)</t>
  </si>
  <si>
    <t>ATENCIÓN: JUE 01/10 RINDEN TALLER ONLINE 1 (TA1) Y JUE 22/10 RINDEN TALLER ONLINE 2 (TA2)</t>
  </si>
  <si>
    <t>SEMANAS DE OCTUBRE</t>
  </si>
  <si>
    <t>PARÁMETROS DE EVALUACIÓN, RÚBRICA DE PARTICIPACIÓN Y EXÁMENES</t>
  </si>
  <si>
    <t>CÓDIGO DE ASISTENCIA</t>
  </si>
  <si>
    <t>RÚBRICA OFICIAL DE PARTICIPACIÓN EN AULA [PA: 40%] (SÍLABO USS)</t>
  </si>
  <si>
    <t>CÓDIGO</t>
  </si>
  <si>
    <t>SIGNIFICADO</t>
  </si>
  <si>
    <t>RANGO NOTA</t>
  </si>
  <si>
    <t>NIVEL DE INVOLUCRAMIENTO EN CLASE</t>
  </si>
  <si>
    <t>CRITERIO AUTOMATIZADO</t>
  </si>
  <si>
    <t>00 - 06</t>
  </si>
  <si>
    <t>Solo asistencia a clase (sin participación activa)</t>
  </si>
  <si>
    <t>0 intervenciones registradas (Base: 5 pts)</t>
  </si>
  <si>
    <t>FALTA</t>
  </si>
  <si>
    <t>07 - 10</t>
  </si>
  <si>
    <t>Asistencia con confirmación / aportes esporádicos</t>
  </si>
  <si>
    <t>1 a 3 intervenciones acumuladas</t>
  </si>
  <si>
    <t>RETARDO</t>
  </si>
  <si>
    <t>11 - 16</t>
  </si>
  <si>
    <t>Asistencia y participación online activa en talleres</t>
  </si>
  <si>
    <t>4 a 7 intervenciones acumuladas</t>
  </si>
  <si>
    <t>17 - 20</t>
  </si>
  <si>
    <t>Asistencia constante, participación destacada y entrega de evidencias</t>
  </si>
  <si>
    <t>8 o más intervenciones acumuladas</t>
  </si>
  <si>
    <t>SISTEMA OFICIAL DE CALIFICACIÓN (PROTECH XP - CINF USS)</t>
  </si>
  <si>
    <t>Participación en Aula [PA]</t>
  </si>
  <si>
    <t>Jue 15/09 al Jue 05/11</t>
  </si>
  <si>
    <t>Evaluación continua de intervenciones en cada clase</t>
  </si>
  <si>
    <t>Taller Online 1 [TA1]</t>
  </si>
  <si>
    <t>Jueves 01 de Octubre</t>
  </si>
  <si>
    <t>Sesión 6: Formularios HTML5 en Aula Virtual</t>
  </si>
  <si>
    <t>Taller Online 2 [TA2]</t>
  </si>
  <si>
    <t>Jueves 22 de Octubre</t>
  </si>
  <si>
    <t>Sesión 12: Diseño Web Responsivo en Aula Virtual</t>
  </si>
  <si>
    <t>Examen Final [EF]</t>
  </si>
  <si>
    <t>Jueves 05 de Noviembre</t>
  </si>
  <si>
    <t>Sesión 16: Evaluación Integradora Final en Aula Virtual</t>
  </si>
  <si>
    <t>PROMEDIO = (40%) PA + (15%) TA1 + (15%) TA2 + (30%) EF  |  NOTA MÍNIMA APROBATORIA: 11  |  ASISTENCIA MÍNIMA: 80%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</si>
</sst>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0">
    <font>
      <sz val="11.0"/>
      <color theme="1"/>
      <name val="Calibri"/>
      <scheme val="minor"/>
    </font>
    <font>
      <b/>
      <sz val="15.0"/>
      <color rgb="FF1F4E79"/>
      <name val="Calibri"/>
    </font>
    <font>
      <b/>
      <sz val="12.0"/>
      <color rgb="FF000000"/>
      <name val="Calibri"/>
    </font>
    <font>
      <i/>
      <sz val="10.0"/>
      <color theme="1"/>
      <name val="Calibri"/>
    </font>
    <font>
      <b/>
      <sz val="11.0"/>
      <color rgb="FFFFFFFF"/>
      <name val="Calibri"/>
    </font>
    <font/>
    <font>
      <b/>
      <sz val="10.0"/>
      <color rgb="FFFFFFFF"/>
      <name val="Calibri"/>
    </font>
    <font>
      <b/>
      <sz val="10.0"/>
      <color rgb="FF000000"/>
      <name val="Calibri"/>
    </font>
    <font>
      <b/>
      <sz val="10.0"/>
      <color rgb="FF9C0006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rgb="FF1F4E79"/>
      <name val="Calibri"/>
    </font>
    <font>
      <sz val="10.0"/>
      <color rgb="FF000000"/>
      <name val="Calibri"/>
    </font>
    <font>
      <i/>
      <sz val="9.0"/>
      <color theme="1"/>
      <name val="Calibri"/>
    </font>
    <font>
      <b/>
      <sz val="10.0"/>
      <color rgb="FF006100"/>
      <name val="Calibri"/>
    </font>
    <font>
      <sz val="9.0"/>
      <color theme="1"/>
      <name val="Calibri"/>
    </font>
    <font>
      <b/>
      <sz val="9.0"/>
      <color rgb="FF000000"/>
      <name val="Calibri"/>
    </font>
    <font>
      <b/>
      <sz val="16.0"/>
      <color theme="1"/>
      <name val="Calibri"/>
    </font>
    <font>
      <b/>
      <sz val="9.0"/>
      <color rgb="FFFFFFFF"/>
      <name val="Calibri"/>
    </font>
    <font>
      <b/>
      <sz val="8.0"/>
      <color rgb="FFFFFFFF"/>
      <name val="Calibri"/>
    </font>
    <font>
      <b/>
      <sz val="8.0"/>
      <color rgb="FF000000"/>
      <name val="Calibri"/>
    </font>
    <font>
      <sz val="11.0"/>
      <color theme="1"/>
      <name val="Calibri"/>
    </font>
    <font>
      <b/>
      <sz val="9.0"/>
      <color theme="1"/>
      <name val="Calibri"/>
    </font>
    <font>
      <b/>
      <sz val="11.0"/>
      <color theme="1"/>
      <name val="Calibri"/>
    </font>
    <font>
      <color theme="1"/>
      <name val="Calibri"/>
    </font>
    <font>
      <b/>
      <sz val="11.0"/>
      <color rgb="FF1F4E79"/>
      <name val="Calibri"/>
    </font>
    <font>
      <b/>
      <sz val="15.0"/>
      <color theme="1"/>
      <name val="Calibri"/>
    </font>
    <font>
      <b/>
      <sz val="14.0"/>
      <color rgb="FF1F4E79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D7D31"/>
        <bgColor rgb="FFED7D31"/>
      </patternFill>
    </fill>
    <fill>
      <patternFill patternType="solid">
        <fgColor rgb="FF2F5597"/>
        <bgColor rgb="FF2F5597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FF9900"/>
        <bgColor rgb="FFFF9900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left" vertical="center"/>
    </xf>
    <xf borderId="4" fillId="4" fontId="6" numFmtId="0" xfId="0" applyAlignment="1" applyBorder="1" applyFill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5" fontId="6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left" vertical="center"/>
    </xf>
    <xf borderId="4" fillId="0" fontId="12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vertical="center"/>
    </xf>
    <xf borderId="4" fillId="0" fontId="14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1" fillId="7" fontId="16" numFmtId="0" xfId="0" applyAlignment="1" applyBorder="1" applyFill="1" applyFont="1">
      <alignment horizontal="center" vertical="center"/>
    </xf>
    <xf borderId="5" fillId="0" fontId="17" numFmtId="0" xfId="0" applyAlignment="1" applyBorder="1" applyFont="1">
      <alignment horizontal="center" vertical="center"/>
    </xf>
    <xf borderId="6" fillId="0" fontId="5" numFmtId="0" xfId="0" applyBorder="1" applyFont="1"/>
    <xf borderId="1" fillId="2" fontId="4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1" fillId="0" fontId="9" numFmtId="0" xfId="0" applyAlignment="1" applyBorder="1" applyFont="1">
      <alignment horizontal="left" readingOrder="0" vertical="center"/>
    </xf>
    <xf borderId="1" fillId="0" fontId="11" numFmtId="0" xfId="0" applyAlignment="1" applyBorder="1" applyFont="1">
      <alignment horizontal="center" vertical="center"/>
    </xf>
    <xf borderId="1" fillId="4" fontId="18" numFmtId="0" xfId="0" applyAlignment="1" applyBorder="1" applyFill="1" applyFont="1">
      <alignment horizontal="center" vertical="center"/>
    </xf>
    <xf borderId="1" fillId="6" fontId="6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4" fillId="8" fontId="16" numFmtId="0" xfId="0" applyAlignment="1" applyBorder="1" applyFill="1" applyFont="1">
      <alignment horizontal="center" shrinkToFit="0" vertical="center" wrapText="1"/>
    </xf>
    <xf borderId="4" fillId="9" fontId="16" numFmtId="0" xfId="0" applyAlignment="1" applyBorder="1" applyFill="1" applyFont="1">
      <alignment horizontal="center" shrinkToFit="0" vertical="center" wrapText="1"/>
    </xf>
    <xf borderId="4" fillId="9" fontId="19" numFmtId="0" xfId="0" applyAlignment="1" applyBorder="1" applyFill="1" applyFont="1">
      <alignment horizontal="center" shrinkToFit="0" vertical="center" wrapText="1"/>
    </xf>
    <xf borderId="4" fillId="10" fontId="20" numFmtId="0" xfId="0" applyAlignment="1" applyBorder="1" applyFill="1" applyFont="1">
      <alignment horizontal="center" shrinkToFit="0" vertical="center" wrapText="1"/>
    </xf>
    <xf borderId="4" fillId="3" fontId="19" numFmtId="0" xfId="0" applyAlignment="1" applyBorder="1" applyFill="1" applyFont="1">
      <alignment horizontal="center" shrinkToFit="0" vertical="center" wrapText="1"/>
    </xf>
    <xf borderId="4" fillId="5" fontId="19" numFmtId="0" xfId="0" applyAlignment="1" applyBorder="1" applyFill="1" applyFont="1">
      <alignment horizontal="center" shrinkToFit="0" vertical="center" wrapText="1"/>
    </xf>
    <xf borderId="4" fillId="6" fontId="19" numFmtId="0" xfId="0" applyAlignment="1" applyBorder="1" applyFill="1" applyFont="1">
      <alignment horizontal="center" shrinkToFit="0" vertical="center" wrapText="1"/>
    </xf>
    <xf borderId="0" fillId="0" fontId="21" numFmtId="0" xfId="0" applyAlignment="1" applyFont="1">
      <alignment vertical="bottom"/>
    </xf>
    <xf borderId="4" fillId="0" fontId="9" numFmtId="0" xfId="0" applyAlignment="1" applyBorder="1" applyFont="1">
      <alignment horizontal="center" readingOrder="0" vertical="center"/>
    </xf>
    <xf borderId="4" fillId="0" fontId="22" numFmtId="164" xfId="0" applyAlignment="1" applyBorder="1" applyFont="1" applyNumberFormat="1">
      <alignment horizontal="center" vertical="center"/>
    </xf>
    <xf borderId="4" fillId="0" fontId="22" numFmtId="0" xfId="0" applyAlignment="1" applyBorder="1" applyFont="1">
      <alignment horizontal="center" vertical="center"/>
    </xf>
    <xf borderId="4" fillId="0" fontId="23" numFmtId="0" xfId="0" applyAlignment="1" applyBorder="1" applyFont="1">
      <alignment horizontal="center" vertical="center"/>
    </xf>
    <xf borderId="0" fillId="0" fontId="21" numFmtId="0" xfId="0" applyAlignment="1" applyFont="1">
      <alignment vertical="bottom"/>
    </xf>
    <xf borderId="4" fillId="0" fontId="21" numFmtId="0" xfId="0" applyAlignment="1" applyBorder="1" applyFont="1">
      <alignment vertical="bottom"/>
    </xf>
    <xf borderId="4" fillId="0" fontId="24" numFmtId="0" xfId="0" applyBorder="1" applyFont="1"/>
    <xf borderId="4" fillId="0" fontId="10" numFmtId="0" xfId="0" applyAlignment="1" applyBorder="1" applyFont="1">
      <alignment horizontal="left" readingOrder="0" vertical="center"/>
    </xf>
    <xf borderId="1" fillId="11" fontId="6" numFmtId="0" xfId="0" applyAlignment="1" applyBorder="1" applyFill="1" applyFont="1">
      <alignment horizontal="center" vertical="center"/>
    </xf>
    <xf borderId="4" fillId="0" fontId="22" numFmtId="164" xfId="0" applyAlignment="1" applyBorder="1" applyFont="1" applyNumberFormat="1">
      <alignment horizontal="center"/>
    </xf>
    <xf borderId="4" fillId="0" fontId="21" numFmtId="0" xfId="0" applyBorder="1" applyFont="1"/>
    <xf borderId="4" fillId="0" fontId="9" numFmtId="0" xfId="0" applyAlignment="1" applyBorder="1" applyFont="1">
      <alignment horizontal="center"/>
    </xf>
    <xf borderId="4" fillId="0" fontId="22" numFmtId="0" xfId="0" applyAlignment="1" applyBorder="1" applyFont="1">
      <alignment horizontal="center"/>
    </xf>
    <xf borderId="1" fillId="7" fontId="9" numFmtId="0" xfId="0" applyAlignment="1" applyBorder="1" applyFill="1" applyFont="1">
      <alignment horizontal="center" vertical="center"/>
    </xf>
    <xf borderId="1" fillId="0" fontId="13" numFmtId="0" xfId="0" applyAlignment="1" applyBorder="1" applyFont="1">
      <alignment horizontal="left" vertical="center"/>
    </xf>
    <xf borderId="1" fillId="6" fontId="4" numFmtId="0" xfId="0" applyAlignment="1" applyBorder="1" applyFill="1" applyFont="1">
      <alignment horizontal="center" vertical="center"/>
    </xf>
    <xf borderId="4" fillId="2" fontId="19" numFmtId="0" xfId="0" applyAlignment="1" applyBorder="1" applyFill="1" applyFont="1">
      <alignment horizontal="center" shrinkToFit="0" vertical="center" wrapText="1"/>
    </xf>
    <xf borderId="4" fillId="0" fontId="25" numFmtId="0" xfId="0" applyAlignment="1" applyBorder="1" applyFont="1">
      <alignment horizontal="center" vertical="center"/>
    </xf>
    <xf borderId="5" fillId="0" fontId="26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4" fillId="2" fontId="4" numFmtId="0" xfId="0" applyAlignment="1" applyBorder="1" applyFill="1" applyFont="1">
      <alignment horizontal="center" vertical="center"/>
    </xf>
    <xf borderId="4" fillId="8" fontId="22" numFmtId="0" xfId="0" applyAlignment="1" applyBorder="1" applyFill="1" applyFont="1">
      <alignment horizontal="center" vertical="center"/>
    </xf>
    <xf borderId="4" fillId="6" fontId="19" numFmtId="0" xfId="0" applyAlignment="1" applyBorder="1" applyFill="1" applyFont="1">
      <alignment horizontal="center" vertical="center"/>
    </xf>
    <xf borderId="4" fillId="0" fontId="10" numFmtId="0" xfId="0" applyBorder="1" applyFont="1"/>
    <xf borderId="4" fillId="8" fontId="22" numFmtId="0" xfId="0" applyAlignment="1" applyBorder="1" applyFill="1" applyFont="1">
      <alignment horizontal="center" shrinkToFit="0" vertical="center" wrapText="1"/>
    </xf>
    <xf borderId="0" fillId="0" fontId="27" numFmtId="0" xfId="0" applyFont="1"/>
    <xf borderId="0" fillId="0" fontId="28" numFmtId="0" xfId="0" applyFont="1"/>
    <xf borderId="4" fillId="11" fontId="4" numFmtId="0" xfId="0" applyAlignment="1" applyBorder="1" applyFill="1" applyFont="1">
      <alignment horizontal="center" vertical="center"/>
    </xf>
    <xf borderId="4" fillId="0" fontId="29" numFmtId="0" xfId="0" applyAlignment="1" applyBorder="1" applyFont="1">
      <alignment horizontal="left" vertical="center"/>
    </xf>
    <xf borderId="4" fillId="0" fontId="12" numFmtId="0" xfId="0" applyAlignment="1" applyBorder="1" applyFont="1">
      <alignment horizontal="left" vertical="center"/>
    </xf>
    <xf borderId="4" fillId="12" fontId="4" numFmtId="0" xfId="0" applyAlignment="1" applyBorder="1" applyFill="1" applyFont="1">
      <alignment horizontal="center" vertical="center"/>
    </xf>
    <xf borderId="4" fillId="7" fontId="28" numFmtId="0" xfId="0" applyAlignment="1" applyBorder="1" applyFill="1" applyFont="1">
      <alignment horizontal="center" vertical="center"/>
    </xf>
    <xf borderId="1" fillId="0" fontId="9" numFmtId="0" xfId="0" applyBorder="1" applyFont="1"/>
    <xf borderId="4" fillId="0" fontId="14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1" fillId="0" fontId="10" numFmtId="0" xfId="0" applyBorder="1" applyFont="1"/>
    <xf borderId="4" fillId="0" fontId="8" numFmtId="0" xfId="0" applyAlignment="1" applyBorder="1" applyFont="1">
      <alignment horizontal="center"/>
    </xf>
  </cellXfs>
  <cellStyles count="1">
    <cellStyle xfId="0" name="Normal" builtinId="0"/>
  </cellStyles>
  <dxfs count="6">
    <dxf>
      <font>
        <b/>
        <color rgb="FFFFFFFF"/>
      </font>
      <fill>
        <patternFill patternType="solid">
          <fgColor rgb="FF70AD47"/>
          <bgColor rgb="FF70AD47"/>
        </patternFill>
      </fill>
      <border/>
    </dxf>
    <dxf>
      <font>
        <b/>
        <color rgb="FF000000"/>
      </font>
      <fill>
        <patternFill patternType="solid">
          <fgColor rgb="FFFFC000"/>
          <bgColor rgb="FFFFC0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6.29"/>
    <col customWidth="1" min="3" max="3" width="6.0"/>
    <col customWidth="1" min="4" max="4" width="26.14"/>
    <col customWidth="1" min="5" max="5" width="40.0"/>
    <col customWidth="1" min="6" max="6" width="26.0"/>
    <col customWidth="1" min="7" max="7" width="10.0"/>
    <col customWidth="1" min="8" max="8" width="22.0"/>
    <col customWidth="1" min="9" max="26" width="8.71"/>
  </cols>
  <sheetData>
    <row r="2">
      <c r="B2" s="1" t="s">
        <v>0</v>
      </c>
    </row>
    <row r="3">
      <c r="B3" s="2" t="s">
        <v>1</v>
      </c>
    </row>
    <row r="4">
      <c r="B4" s="3" t="s">
        <v>2</v>
      </c>
    </row>
    <row r="6">
      <c r="B6" s="4" t="s">
        <v>3</v>
      </c>
      <c r="C6" s="5"/>
      <c r="D6" s="5"/>
      <c r="E6" s="5"/>
      <c r="F6" s="5"/>
      <c r="G6" s="5"/>
      <c r="H6" s="6"/>
    </row>
    <row r="7">
      <c r="B7" s="7" t="s">
        <v>4</v>
      </c>
      <c r="C7" s="8" t="s">
        <v>5</v>
      </c>
      <c r="D7" s="9" t="s">
        <v>6</v>
      </c>
      <c r="E7" s="10" t="s">
        <v>7</v>
      </c>
      <c r="F7" s="11" t="s">
        <v>8</v>
      </c>
      <c r="G7" s="5"/>
      <c r="H7" s="6"/>
    </row>
    <row r="8">
      <c r="B8" s="7" t="s">
        <v>9</v>
      </c>
      <c r="C8" s="8" t="s">
        <v>5</v>
      </c>
      <c r="D8" s="9" t="s">
        <v>10</v>
      </c>
      <c r="E8" s="10" t="s">
        <v>11</v>
      </c>
      <c r="F8" s="11" t="s">
        <v>12</v>
      </c>
      <c r="G8" s="5"/>
      <c r="H8" s="6"/>
    </row>
    <row r="9">
      <c r="B9" s="12" t="s">
        <v>13</v>
      </c>
      <c r="C9" s="8" t="s">
        <v>14</v>
      </c>
      <c r="D9" s="13" t="s">
        <v>15</v>
      </c>
      <c r="E9" s="10" t="s">
        <v>16</v>
      </c>
      <c r="F9" s="11" t="s">
        <v>17</v>
      </c>
      <c r="G9" s="5"/>
      <c r="H9" s="6"/>
    </row>
    <row r="10">
      <c r="B10" s="14" t="s">
        <v>18</v>
      </c>
      <c r="C10" s="8" t="s">
        <v>19</v>
      </c>
      <c r="D10" s="9" t="s">
        <v>20</v>
      </c>
      <c r="E10" s="10" t="s">
        <v>21</v>
      </c>
      <c r="F10" s="11" t="s">
        <v>22</v>
      </c>
      <c r="G10" s="5"/>
      <c r="H10" s="6"/>
    </row>
    <row r="11">
      <c r="B11" s="15" t="s">
        <v>23</v>
      </c>
      <c r="C11" s="8" t="s">
        <v>24</v>
      </c>
      <c r="D11" s="13" t="s">
        <v>25</v>
      </c>
      <c r="E11" s="10" t="s">
        <v>26</v>
      </c>
      <c r="F11" s="11" t="s">
        <v>27</v>
      </c>
      <c r="G11" s="5"/>
      <c r="H11" s="6"/>
    </row>
    <row r="13">
      <c r="B13" s="4" t="s">
        <v>28</v>
      </c>
      <c r="C13" s="5"/>
      <c r="D13" s="5"/>
      <c r="E13" s="5"/>
      <c r="F13" s="5"/>
      <c r="G13" s="5"/>
      <c r="H13" s="6"/>
    </row>
    <row r="14">
      <c r="B14" s="15" t="s">
        <v>29</v>
      </c>
      <c r="C14" s="15" t="s">
        <v>30</v>
      </c>
      <c r="D14" s="15" t="s">
        <v>31</v>
      </c>
      <c r="E14" s="15" t="s">
        <v>32</v>
      </c>
      <c r="F14" s="15" t="s">
        <v>33</v>
      </c>
      <c r="G14" s="15" t="s">
        <v>34</v>
      </c>
      <c r="H14" s="15" t="s">
        <v>35</v>
      </c>
    </row>
    <row r="15" ht="19.5" customHeight="1">
      <c r="B15" s="16" t="s">
        <v>36</v>
      </c>
      <c r="C15" s="10" t="s">
        <v>37</v>
      </c>
      <c r="D15" s="8" t="s">
        <v>38</v>
      </c>
      <c r="E15" s="17" t="s">
        <v>39</v>
      </c>
      <c r="F15" s="18" t="s">
        <v>40</v>
      </c>
      <c r="G15" s="18" t="s">
        <v>41</v>
      </c>
      <c r="H15" s="19" t="s">
        <v>42</v>
      </c>
    </row>
    <row r="16" ht="19.5" customHeight="1">
      <c r="B16" s="16" t="s">
        <v>43</v>
      </c>
      <c r="C16" s="10" t="s">
        <v>44</v>
      </c>
      <c r="D16" s="8" t="s">
        <v>45</v>
      </c>
      <c r="E16" s="17" t="s">
        <v>46</v>
      </c>
      <c r="F16" s="18" t="s">
        <v>40</v>
      </c>
      <c r="G16" s="18" t="s">
        <v>41</v>
      </c>
      <c r="H16" s="19" t="s">
        <v>42</v>
      </c>
    </row>
    <row r="17" ht="19.5" customHeight="1">
      <c r="B17" s="16" t="s">
        <v>47</v>
      </c>
      <c r="C17" s="10" t="s">
        <v>37</v>
      </c>
      <c r="D17" s="8" t="s">
        <v>48</v>
      </c>
      <c r="E17" s="17" t="s">
        <v>49</v>
      </c>
      <c r="F17" s="18" t="s">
        <v>40</v>
      </c>
      <c r="G17" s="18" t="s">
        <v>41</v>
      </c>
      <c r="H17" s="19" t="s">
        <v>42</v>
      </c>
    </row>
    <row r="18" ht="19.5" customHeight="1">
      <c r="B18" s="16" t="s">
        <v>50</v>
      </c>
      <c r="C18" s="10" t="s">
        <v>44</v>
      </c>
      <c r="D18" s="8" t="s">
        <v>51</v>
      </c>
      <c r="E18" s="17" t="s">
        <v>52</v>
      </c>
      <c r="F18" s="18" t="s">
        <v>40</v>
      </c>
      <c r="G18" s="18" t="s">
        <v>41</v>
      </c>
      <c r="H18" s="19" t="s">
        <v>42</v>
      </c>
    </row>
    <row r="19" ht="19.5" customHeight="1">
      <c r="B19" s="16" t="s">
        <v>53</v>
      </c>
      <c r="C19" s="10" t="s">
        <v>37</v>
      </c>
      <c r="D19" s="8" t="s">
        <v>54</v>
      </c>
      <c r="E19" s="17" t="s">
        <v>55</v>
      </c>
      <c r="F19" s="18" t="s">
        <v>40</v>
      </c>
      <c r="G19" s="18" t="s">
        <v>41</v>
      </c>
      <c r="H19" s="19" t="s">
        <v>42</v>
      </c>
    </row>
    <row r="20" ht="19.5" customHeight="1">
      <c r="B20" s="10" t="s">
        <v>7</v>
      </c>
      <c r="C20" s="10" t="s">
        <v>44</v>
      </c>
      <c r="D20" s="9" t="s">
        <v>56</v>
      </c>
      <c r="E20" s="20" t="s">
        <v>57</v>
      </c>
      <c r="F20" s="7" t="s">
        <v>58</v>
      </c>
      <c r="G20" s="21" t="s">
        <v>5</v>
      </c>
      <c r="H20" s="22" t="s">
        <v>59</v>
      </c>
    </row>
    <row r="21" ht="19.5" customHeight="1">
      <c r="B21" s="16" t="s">
        <v>60</v>
      </c>
      <c r="C21" s="10" t="s">
        <v>37</v>
      </c>
      <c r="D21" s="8" t="s">
        <v>61</v>
      </c>
      <c r="E21" s="17" t="s">
        <v>62</v>
      </c>
      <c r="F21" s="18" t="s">
        <v>40</v>
      </c>
      <c r="G21" s="18" t="s">
        <v>41</v>
      </c>
      <c r="H21" s="19" t="s">
        <v>42</v>
      </c>
    </row>
    <row r="22" ht="19.5" customHeight="1">
      <c r="B22" s="16" t="s">
        <v>63</v>
      </c>
      <c r="C22" s="10" t="s">
        <v>44</v>
      </c>
      <c r="D22" s="8" t="s">
        <v>64</v>
      </c>
      <c r="E22" s="17" t="s">
        <v>65</v>
      </c>
      <c r="F22" s="18" t="s">
        <v>40</v>
      </c>
      <c r="G22" s="18" t="s">
        <v>41</v>
      </c>
      <c r="H22" s="19" t="s">
        <v>42</v>
      </c>
    </row>
    <row r="23" ht="19.5" customHeight="1">
      <c r="B23" s="16" t="s">
        <v>66</v>
      </c>
      <c r="C23" s="10" t="s">
        <v>37</v>
      </c>
      <c r="D23" s="8" t="s">
        <v>67</v>
      </c>
      <c r="E23" s="17" t="s">
        <v>68</v>
      </c>
      <c r="F23" s="18" t="s">
        <v>40</v>
      </c>
      <c r="G23" s="18" t="s">
        <v>41</v>
      </c>
      <c r="H23" s="19" t="s">
        <v>42</v>
      </c>
    </row>
    <row r="24" ht="19.5" customHeight="1">
      <c r="B24" s="16" t="s">
        <v>69</v>
      </c>
      <c r="C24" s="10" t="s">
        <v>44</v>
      </c>
      <c r="D24" s="8" t="s">
        <v>70</v>
      </c>
      <c r="E24" s="17" t="s">
        <v>71</v>
      </c>
      <c r="F24" s="18" t="s">
        <v>40</v>
      </c>
      <c r="G24" s="18" t="s">
        <v>41</v>
      </c>
      <c r="H24" s="19" t="s">
        <v>42</v>
      </c>
    </row>
    <row r="25" ht="19.5" customHeight="1">
      <c r="B25" s="16" t="s">
        <v>72</v>
      </c>
      <c r="C25" s="10" t="s">
        <v>37</v>
      </c>
      <c r="D25" s="8" t="s">
        <v>73</v>
      </c>
      <c r="E25" s="17" t="s">
        <v>74</v>
      </c>
      <c r="F25" s="18" t="s">
        <v>40</v>
      </c>
      <c r="G25" s="18" t="s">
        <v>41</v>
      </c>
      <c r="H25" s="19" t="s">
        <v>42</v>
      </c>
    </row>
    <row r="26" ht="19.5" customHeight="1">
      <c r="B26" s="10" t="s">
        <v>11</v>
      </c>
      <c r="C26" s="10" t="s">
        <v>44</v>
      </c>
      <c r="D26" s="9" t="s">
        <v>75</v>
      </c>
      <c r="E26" s="20" t="s">
        <v>76</v>
      </c>
      <c r="F26" s="7" t="s">
        <v>77</v>
      </c>
      <c r="G26" s="21" t="s">
        <v>5</v>
      </c>
      <c r="H26" s="22" t="s">
        <v>59</v>
      </c>
    </row>
    <row r="27" ht="19.5" customHeight="1">
      <c r="B27" s="16" t="s">
        <v>78</v>
      </c>
      <c r="C27" s="10" t="s">
        <v>37</v>
      </c>
      <c r="D27" s="8" t="s">
        <v>79</v>
      </c>
      <c r="E27" s="17" t="s">
        <v>80</v>
      </c>
      <c r="F27" s="18" t="s">
        <v>40</v>
      </c>
      <c r="G27" s="18" t="s">
        <v>41</v>
      </c>
      <c r="H27" s="19" t="s">
        <v>42</v>
      </c>
    </row>
    <row r="28" ht="19.5" customHeight="1">
      <c r="B28" s="16" t="s">
        <v>81</v>
      </c>
      <c r="C28" s="10" t="s">
        <v>44</v>
      </c>
      <c r="D28" s="8" t="s">
        <v>82</v>
      </c>
      <c r="E28" s="17" t="s">
        <v>83</v>
      </c>
      <c r="F28" s="18" t="s">
        <v>40</v>
      </c>
      <c r="G28" s="18" t="s">
        <v>41</v>
      </c>
      <c r="H28" s="19" t="s">
        <v>42</v>
      </c>
    </row>
    <row r="29" ht="19.5" customHeight="1">
      <c r="B29" s="16" t="s">
        <v>16</v>
      </c>
      <c r="C29" s="10" t="s">
        <v>37</v>
      </c>
      <c r="D29" s="8" t="s">
        <v>84</v>
      </c>
      <c r="E29" s="17" t="s">
        <v>85</v>
      </c>
      <c r="F29" s="18" t="s">
        <v>86</v>
      </c>
      <c r="G29" s="18" t="s">
        <v>41</v>
      </c>
      <c r="H29" s="19" t="s">
        <v>42</v>
      </c>
    </row>
    <row r="30" ht="19.5" customHeight="1">
      <c r="B30" s="10" t="s">
        <v>21</v>
      </c>
      <c r="C30" s="10" t="s">
        <v>44</v>
      </c>
      <c r="D30" s="9" t="s">
        <v>87</v>
      </c>
      <c r="E30" s="20" t="s">
        <v>88</v>
      </c>
      <c r="F30" s="14" t="s">
        <v>89</v>
      </c>
      <c r="G30" s="21" t="s">
        <v>19</v>
      </c>
      <c r="H30" s="22" t="s">
        <v>59</v>
      </c>
    </row>
    <row r="31" ht="15.75" customHeight="1">
      <c r="B31" s="23" t="s">
        <v>90</v>
      </c>
      <c r="C31" s="5"/>
      <c r="D31" s="5"/>
      <c r="E31" s="5"/>
      <c r="F31" s="5"/>
      <c r="G31" s="5"/>
      <c r="H31" s="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6:H6"/>
    <mergeCell ref="F7:H7"/>
    <mergeCell ref="F8:H8"/>
    <mergeCell ref="F9:H9"/>
    <mergeCell ref="F10:H10"/>
    <mergeCell ref="F11:H11"/>
    <mergeCell ref="B13:H13"/>
    <mergeCell ref="B31:H3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4.86"/>
    <col customWidth="1" min="3" max="3" width="36.0"/>
    <col customWidth="1" min="4" max="19" width="6.14"/>
    <col customWidth="1" min="20" max="20" width="9.0"/>
    <col customWidth="1" min="21" max="21" width="12.0"/>
    <col customWidth="1" min="22" max="22" width="9.43"/>
    <col customWidth="1" min="23" max="23" width="11.43"/>
    <col customWidth="1" min="24" max="27" width="12.0"/>
    <col customWidth="1" min="28" max="28" width="15.0"/>
  </cols>
  <sheetData>
    <row r="1" ht="27.75" customHeight="1">
      <c r="B1" s="24" t="s">
        <v>91</v>
      </c>
      <c r="C1" s="25"/>
      <c r="D1" s="26" t="s">
        <v>92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27" t="s">
        <v>93</v>
      </c>
      <c r="W1" s="5"/>
      <c r="X1" s="5"/>
      <c r="Y1" s="5"/>
      <c r="Z1" s="5"/>
      <c r="AA1" s="5"/>
      <c r="AB1" s="6"/>
    </row>
    <row r="2" ht="25.5" customHeight="1">
      <c r="B2" s="28"/>
      <c r="C2" s="29"/>
      <c r="D2" s="30" t="s">
        <v>94</v>
      </c>
      <c r="E2" s="5"/>
      <c r="F2" s="5"/>
      <c r="G2" s="5"/>
      <c r="H2" s="5"/>
      <c r="I2" s="5"/>
      <c r="J2" s="5"/>
      <c r="K2" s="5"/>
      <c r="L2" s="5"/>
      <c r="M2" s="6"/>
      <c r="N2" s="31" t="s">
        <v>95</v>
      </c>
      <c r="O2" s="5"/>
      <c r="P2" s="5"/>
      <c r="Q2" s="5"/>
      <c r="R2" s="5"/>
      <c r="S2" s="5"/>
      <c r="T2" s="5"/>
      <c r="U2" s="6"/>
      <c r="V2" s="32" t="s">
        <v>96</v>
      </c>
      <c r="W2" s="5"/>
      <c r="X2" s="5"/>
      <c r="Y2" s="5"/>
      <c r="Z2" s="5"/>
      <c r="AA2" s="5"/>
      <c r="AB2" s="6"/>
    </row>
    <row r="3" ht="24.0" customHeight="1">
      <c r="B3" s="26" t="s">
        <v>97</v>
      </c>
      <c r="C3" s="6"/>
      <c r="D3" s="26" t="s">
        <v>98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  <c r="T3" s="33" t="s">
        <v>99</v>
      </c>
      <c r="U3" s="6"/>
      <c r="V3" s="34" t="s">
        <v>100</v>
      </c>
      <c r="W3" s="6"/>
      <c r="X3" s="27" t="s">
        <v>101</v>
      </c>
      <c r="Y3" s="5"/>
      <c r="Z3" s="6"/>
      <c r="AA3" s="33" t="s">
        <v>102</v>
      </c>
      <c r="AB3" s="6"/>
    </row>
    <row r="4" ht="21.75" customHeight="1">
      <c r="B4" s="35" t="s">
        <v>103</v>
      </c>
      <c r="C4" s="35" t="s">
        <v>104</v>
      </c>
      <c r="D4" s="36" t="s">
        <v>105</v>
      </c>
      <c r="E4" s="37" t="s">
        <v>106</v>
      </c>
      <c r="F4" s="36" t="s">
        <v>107</v>
      </c>
      <c r="G4" s="37" t="s">
        <v>108</v>
      </c>
      <c r="H4" s="36" t="s">
        <v>109</v>
      </c>
      <c r="I4" s="38" t="s">
        <v>110</v>
      </c>
      <c r="J4" s="36" t="s">
        <v>111</v>
      </c>
      <c r="K4" s="37" t="s">
        <v>112</v>
      </c>
      <c r="L4" s="36" t="s">
        <v>113</v>
      </c>
      <c r="M4" s="37" t="s">
        <v>114</v>
      </c>
      <c r="N4" s="36" t="s">
        <v>115</v>
      </c>
      <c r="O4" s="38" t="s">
        <v>116</v>
      </c>
      <c r="P4" s="36" t="s">
        <v>117</v>
      </c>
      <c r="Q4" s="37" t="s">
        <v>118</v>
      </c>
      <c r="R4" s="36" t="s">
        <v>119</v>
      </c>
      <c r="S4" s="38" t="s">
        <v>120</v>
      </c>
      <c r="T4" s="39" t="s">
        <v>121</v>
      </c>
      <c r="U4" s="39" t="s">
        <v>122</v>
      </c>
      <c r="V4" s="39" t="s">
        <v>123</v>
      </c>
      <c r="W4" s="39" t="s">
        <v>124</v>
      </c>
      <c r="X4" s="40" t="s">
        <v>125</v>
      </c>
      <c r="Y4" s="40" t="s">
        <v>126</v>
      </c>
      <c r="Z4" s="41" t="s">
        <v>127</v>
      </c>
      <c r="AA4" s="42" t="s">
        <v>128</v>
      </c>
      <c r="AB4" s="42" t="s">
        <v>129</v>
      </c>
    </row>
    <row r="5" ht="18.0" customHeight="1">
      <c r="B5" s="10">
        <v>1.0</v>
      </c>
      <c r="C5" s="43" t="s">
        <v>130</v>
      </c>
      <c r="D5" s="44" t="s">
        <v>131</v>
      </c>
      <c r="E5" s="44" t="s">
        <v>132</v>
      </c>
      <c r="F5" s="44" t="s">
        <v>132</v>
      </c>
      <c r="G5" s="44" t="s">
        <v>132</v>
      </c>
      <c r="H5" s="44" t="s">
        <v>131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45">
        <f t="shared" ref="T5:T24" si="1">IF(COUNTA(D5:S5)=0, 0, (COUNTIF(D5:S5,"A")+COUNTIF(D5:S5,"R"))/COUNTA(D5:S5))</f>
        <v>0.6</v>
      </c>
      <c r="U5" s="46" t="str">
        <f t="shared" ref="U5:U24" si="2">IF(COUNTA(D5:S5)=0, "SIN REGISTRO", IF(T5&gt;=0.8, "APTO", "INHABILITADO"))</f>
        <v>INHABILITADO</v>
      </c>
      <c r="V5" s="10">
        <f>'CONTROL DE PARTICIPACIONES'!U5</f>
        <v>3</v>
      </c>
      <c r="W5" s="13">
        <f>'CONTROL DE PARTICIPACIONES'!W5</f>
        <v>10</v>
      </c>
      <c r="X5" s="16"/>
      <c r="Y5" s="16"/>
      <c r="Z5" s="16"/>
      <c r="AA5" s="47">
        <f t="shared" ref="AA5:AA24" si="3">ROUND((0.4*W5) + (0.15*IF(X5="",0,X5)) + (0.15*IF(Y5="",0,Y5)) + (0.3*IF(Z5="",0,Z5)), 0)</f>
        <v>4</v>
      </c>
      <c r="AB5" s="46" t="str">
        <f t="shared" ref="AB5:AB24" si="4">IF(T5&lt;0.8, "DPI (&lt;80%)", IF(AA5&gt;=11, "APROBADO", "DESAPROBADO"))</f>
        <v>DPI (&lt;80%)</v>
      </c>
    </row>
    <row r="6" ht="18.0" customHeight="1">
      <c r="B6" s="10">
        <v>2.0</v>
      </c>
      <c r="C6" s="43" t="s">
        <v>133</v>
      </c>
      <c r="D6" s="44" t="s">
        <v>132</v>
      </c>
      <c r="E6" s="44" t="s">
        <v>132</v>
      </c>
      <c r="F6" s="44" t="s">
        <v>132</v>
      </c>
      <c r="G6" s="44" t="s">
        <v>131</v>
      </c>
      <c r="H6" s="44" t="s">
        <v>132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45">
        <f t="shared" si="1"/>
        <v>0.8</v>
      </c>
      <c r="U6" s="46" t="str">
        <f t="shared" si="2"/>
        <v>APTO</v>
      </c>
      <c r="V6" s="10">
        <f>'CONTROL DE PARTICIPACIONES'!U6</f>
        <v>7</v>
      </c>
      <c r="W6" s="13">
        <f>'CONTROL DE PARTICIPACIONES'!W6</f>
        <v>16</v>
      </c>
      <c r="X6" s="16"/>
      <c r="Y6" s="16"/>
      <c r="Z6" s="16"/>
      <c r="AA6" s="47">
        <f t="shared" si="3"/>
        <v>6</v>
      </c>
      <c r="AB6" s="46" t="str">
        <f t="shared" si="4"/>
        <v>DESAPROBADO</v>
      </c>
    </row>
    <row r="7" ht="18.0" customHeight="1">
      <c r="B7" s="10">
        <v>3.0</v>
      </c>
      <c r="C7" s="43" t="s">
        <v>134</v>
      </c>
      <c r="D7" s="44" t="s">
        <v>131</v>
      </c>
      <c r="E7" s="44" t="s">
        <v>131</v>
      </c>
      <c r="F7" s="44" t="s">
        <v>132</v>
      </c>
      <c r="G7" s="44" t="s">
        <v>131</v>
      </c>
      <c r="H7" s="44" t="s">
        <v>131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45">
        <f t="shared" si="1"/>
        <v>0.2</v>
      </c>
      <c r="U7" s="46" t="str">
        <f t="shared" si="2"/>
        <v>INHABILITADO</v>
      </c>
      <c r="V7" s="10">
        <f>'CONTROL DE PARTICIPACIONES'!U7</f>
        <v>0</v>
      </c>
      <c r="W7" s="13">
        <f>'CONTROL DE PARTICIPACIONES'!W7</f>
        <v>5</v>
      </c>
      <c r="X7" s="16"/>
      <c r="Y7" s="16"/>
      <c r="Z7" s="16"/>
      <c r="AA7" s="47">
        <f t="shared" si="3"/>
        <v>2</v>
      </c>
      <c r="AB7" s="46" t="str">
        <f t="shared" si="4"/>
        <v>DPI (&lt;80%)</v>
      </c>
    </row>
    <row r="8" ht="18.0" customHeight="1">
      <c r="B8" s="10">
        <v>4.0</v>
      </c>
      <c r="C8" s="43" t="s">
        <v>135</v>
      </c>
      <c r="D8" s="44" t="s">
        <v>131</v>
      </c>
      <c r="E8" s="44" t="s">
        <v>131</v>
      </c>
      <c r="F8" s="44" t="s">
        <v>131</v>
      </c>
      <c r="G8" s="44" t="s">
        <v>131</v>
      </c>
      <c r="H8" s="44" t="s">
        <v>131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45">
        <f t="shared" si="1"/>
        <v>0</v>
      </c>
      <c r="U8" s="46" t="str">
        <f t="shared" si="2"/>
        <v>INHABILITADO</v>
      </c>
      <c r="V8" s="10">
        <f>'CONTROL DE PARTICIPACIONES'!U8</f>
        <v>0</v>
      </c>
      <c r="W8" s="13">
        <f>'CONTROL DE PARTICIPACIONES'!W8</f>
        <v>5</v>
      </c>
      <c r="X8" s="16"/>
      <c r="Y8" s="16"/>
      <c r="Z8" s="16"/>
      <c r="AA8" s="47">
        <f t="shared" si="3"/>
        <v>2</v>
      </c>
      <c r="AB8" s="46" t="str">
        <f t="shared" si="4"/>
        <v>DPI (&lt;80%)</v>
      </c>
    </row>
    <row r="9" ht="18.0" customHeight="1">
      <c r="B9" s="10">
        <v>5.0</v>
      </c>
      <c r="C9" s="43" t="s">
        <v>136</v>
      </c>
      <c r="D9" s="44" t="s">
        <v>131</v>
      </c>
      <c r="E9" s="44" t="s">
        <v>131</v>
      </c>
      <c r="F9" s="44" t="s">
        <v>131</v>
      </c>
      <c r="G9" s="44" t="s">
        <v>131</v>
      </c>
      <c r="H9" s="44" t="s">
        <v>131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45">
        <f t="shared" si="1"/>
        <v>0</v>
      </c>
      <c r="U9" s="46" t="str">
        <f t="shared" si="2"/>
        <v>INHABILITADO</v>
      </c>
      <c r="V9" s="10">
        <f>'CONTROL DE PARTICIPACIONES'!U9</f>
        <v>0</v>
      </c>
      <c r="W9" s="13">
        <f>'CONTROL DE PARTICIPACIONES'!W9</f>
        <v>5</v>
      </c>
      <c r="X9" s="16"/>
      <c r="Y9" s="16"/>
      <c r="Z9" s="16"/>
      <c r="AA9" s="47">
        <f t="shared" si="3"/>
        <v>2</v>
      </c>
      <c r="AB9" s="46" t="str">
        <f t="shared" si="4"/>
        <v>DPI (&lt;80%)</v>
      </c>
    </row>
    <row r="10" ht="18.0" customHeight="1">
      <c r="B10" s="10">
        <v>6.0</v>
      </c>
      <c r="C10" s="43" t="s">
        <v>137</v>
      </c>
      <c r="D10" s="44" t="s">
        <v>131</v>
      </c>
      <c r="E10" s="44" t="s">
        <v>131</v>
      </c>
      <c r="F10" s="44" t="s">
        <v>131</v>
      </c>
      <c r="G10" s="44" t="s">
        <v>131</v>
      </c>
      <c r="H10" s="44" t="s">
        <v>131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45">
        <f t="shared" si="1"/>
        <v>0</v>
      </c>
      <c r="U10" s="46" t="str">
        <f t="shared" si="2"/>
        <v>INHABILITADO</v>
      </c>
      <c r="V10" s="10">
        <f>'CONTROL DE PARTICIPACIONES'!U10</f>
        <v>0</v>
      </c>
      <c r="W10" s="13">
        <f>'CONTROL DE PARTICIPACIONES'!W10</f>
        <v>5</v>
      </c>
      <c r="X10" s="16"/>
      <c r="Y10" s="16"/>
      <c r="Z10" s="16"/>
      <c r="AA10" s="47">
        <f t="shared" si="3"/>
        <v>2</v>
      </c>
      <c r="AB10" s="46" t="str">
        <f t="shared" si="4"/>
        <v>DPI (&lt;80%)</v>
      </c>
    </row>
    <row r="11" ht="18.0" customHeight="1">
      <c r="B11" s="10">
        <v>7.0</v>
      </c>
      <c r="C11" s="48" t="s">
        <v>138</v>
      </c>
      <c r="D11" s="44" t="s">
        <v>131</v>
      </c>
      <c r="E11" s="44" t="s">
        <v>131</v>
      </c>
      <c r="F11" s="44" t="s">
        <v>132</v>
      </c>
      <c r="G11" s="44" t="s">
        <v>132</v>
      </c>
      <c r="H11" s="44" t="s">
        <v>132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45">
        <f t="shared" si="1"/>
        <v>0.6</v>
      </c>
      <c r="U11" s="46" t="str">
        <f t="shared" si="2"/>
        <v>INHABILITADO</v>
      </c>
      <c r="V11" s="10">
        <f>'CONTROL DE PARTICIPACIONES'!U11</f>
        <v>0</v>
      </c>
      <c r="W11" s="13">
        <f>'CONTROL DE PARTICIPACIONES'!W11</f>
        <v>5</v>
      </c>
      <c r="X11" s="16"/>
      <c r="Y11" s="16"/>
      <c r="Z11" s="16"/>
      <c r="AA11" s="47">
        <f t="shared" si="3"/>
        <v>2</v>
      </c>
      <c r="AB11" s="46" t="str">
        <f t="shared" si="4"/>
        <v>DPI (&lt;80%)</v>
      </c>
    </row>
    <row r="12" ht="18.0" customHeight="1">
      <c r="B12" s="10">
        <v>8.0</v>
      </c>
      <c r="C12" s="48" t="s">
        <v>139</v>
      </c>
      <c r="D12" s="44" t="s">
        <v>132</v>
      </c>
      <c r="E12" s="44" t="s">
        <v>132</v>
      </c>
      <c r="F12" s="44" t="s">
        <v>131</v>
      </c>
      <c r="G12" s="44" t="s">
        <v>132</v>
      </c>
      <c r="H12" s="44" t="s">
        <v>132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45">
        <f t="shared" si="1"/>
        <v>0.8</v>
      </c>
      <c r="U12" s="46" t="str">
        <f t="shared" si="2"/>
        <v>APTO</v>
      </c>
      <c r="V12" s="10">
        <f>'CONTROL DE PARTICIPACIONES'!U12</f>
        <v>3</v>
      </c>
      <c r="W12" s="13">
        <f>'CONTROL DE PARTICIPACIONES'!W12</f>
        <v>10</v>
      </c>
      <c r="X12" s="16"/>
      <c r="Y12" s="16"/>
      <c r="Z12" s="16"/>
      <c r="AA12" s="47">
        <f t="shared" si="3"/>
        <v>4</v>
      </c>
      <c r="AB12" s="46" t="str">
        <f t="shared" si="4"/>
        <v>DESAPROBADO</v>
      </c>
    </row>
    <row r="13" ht="18.0" customHeight="1">
      <c r="B13" s="10">
        <v>9.0</v>
      </c>
      <c r="C13" s="48" t="s">
        <v>140</v>
      </c>
      <c r="D13" s="44" t="s">
        <v>132</v>
      </c>
      <c r="E13" s="44" t="s">
        <v>132</v>
      </c>
      <c r="F13" s="44" t="s">
        <v>131</v>
      </c>
      <c r="G13" s="44" t="s">
        <v>132</v>
      </c>
      <c r="H13" s="44" t="s">
        <v>131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45">
        <f t="shared" si="1"/>
        <v>0.6</v>
      </c>
      <c r="U13" s="46" t="str">
        <f t="shared" si="2"/>
        <v>INHABILITADO</v>
      </c>
      <c r="V13" s="10">
        <f>'CONTROL DE PARTICIPACIONES'!U13</f>
        <v>6</v>
      </c>
      <c r="W13" s="13">
        <f>'CONTROL DE PARTICIPACIONES'!W13</f>
        <v>14</v>
      </c>
      <c r="X13" s="16"/>
      <c r="Y13" s="16"/>
      <c r="Z13" s="16"/>
      <c r="AA13" s="47">
        <f t="shared" si="3"/>
        <v>6</v>
      </c>
      <c r="AB13" s="46" t="str">
        <f t="shared" si="4"/>
        <v>DPI (&lt;80%)</v>
      </c>
    </row>
    <row r="14" ht="18.0" customHeight="1">
      <c r="B14" s="10">
        <v>10.0</v>
      </c>
      <c r="C14" s="48" t="s">
        <v>141</v>
      </c>
      <c r="D14" s="44" t="s">
        <v>131</v>
      </c>
      <c r="E14" s="44" t="s">
        <v>142</v>
      </c>
      <c r="F14" s="44" t="s">
        <v>132</v>
      </c>
      <c r="G14" s="44" t="s">
        <v>142</v>
      </c>
      <c r="H14" s="44" t="s">
        <v>131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45">
        <f t="shared" si="1"/>
        <v>0.6</v>
      </c>
      <c r="U14" s="46" t="str">
        <f t="shared" si="2"/>
        <v>INHABILITADO</v>
      </c>
      <c r="V14" s="10">
        <f>'CONTROL DE PARTICIPACIONES'!U14</f>
        <v>0</v>
      </c>
      <c r="W14" s="13">
        <f>'CONTROL DE PARTICIPACIONES'!W14</f>
        <v>5</v>
      </c>
      <c r="X14" s="16"/>
      <c r="Y14" s="16"/>
      <c r="Z14" s="16"/>
      <c r="AA14" s="47">
        <f t="shared" si="3"/>
        <v>2</v>
      </c>
      <c r="AB14" s="46" t="str">
        <f t="shared" si="4"/>
        <v>DPI (&lt;80%)</v>
      </c>
    </row>
    <row r="15" ht="18.0" customHeight="1">
      <c r="B15" s="10">
        <v>11.0</v>
      </c>
      <c r="C15" s="48" t="s">
        <v>143</v>
      </c>
      <c r="D15" s="44" t="s">
        <v>131</v>
      </c>
      <c r="E15" s="44" t="s">
        <v>142</v>
      </c>
      <c r="F15" s="44" t="s">
        <v>132</v>
      </c>
      <c r="G15" s="44" t="s">
        <v>142</v>
      </c>
      <c r="H15" s="44" t="s">
        <v>132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45">
        <f t="shared" si="1"/>
        <v>0.8</v>
      </c>
      <c r="U15" s="46" t="str">
        <f t="shared" si="2"/>
        <v>APTO</v>
      </c>
      <c r="V15" s="10">
        <f>'CONTROL DE PARTICIPACIONES'!U15</f>
        <v>5</v>
      </c>
      <c r="W15" s="13">
        <f>'CONTROL DE PARTICIPACIONES'!W15</f>
        <v>13</v>
      </c>
      <c r="X15" s="16"/>
      <c r="Y15" s="16"/>
      <c r="Z15" s="16"/>
      <c r="AA15" s="47">
        <f t="shared" si="3"/>
        <v>5</v>
      </c>
      <c r="AB15" s="46" t="str">
        <f t="shared" si="4"/>
        <v>DESAPROBADO</v>
      </c>
    </row>
    <row r="16" ht="18.0" customHeight="1">
      <c r="B16" s="10">
        <v>12.0</v>
      </c>
      <c r="C16" s="48" t="s">
        <v>144</v>
      </c>
      <c r="D16" s="44" t="s">
        <v>132</v>
      </c>
      <c r="E16" s="44" t="s">
        <v>142</v>
      </c>
      <c r="F16" s="44" t="s">
        <v>131</v>
      </c>
      <c r="G16" s="44" t="s">
        <v>132</v>
      </c>
      <c r="H16" s="44" t="s">
        <v>132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45">
        <f t="shared" si="1"/>
        <v>0.8</v>
      </c>
      <c r="U16" s="46" t="str">
        <f t="shared" si="2"/>
        <v>APTO</v>
      </c>
      <c r="V16" s="10">
        <f>'CONTROL DE PARTICIPACIONES'!U16</f>
        <v>9</v>
      </c>
      <c r="W16" s="13">
        <f>'CONTROL DE PARTICIPACIONES'!W16</f>
        <v>18</v>
      </c>
      <c r="X16" s="16"/>
      <c r="Y16" s="16"/>
      <c r="Z16" s="16"/>
      <c r="AA16" s="47">
        <f t="shared" si="3"/>
        <v>7</v>
      </c>
      <c r="AB16" s="46" t="str">
        <f t="shared" si="4"/>
        <v>DESAPROBADO</v>
      </c>
    </row>
    <row r="17" ht="18.0" customHeight="1">
      <c r="B17" s="10">
        <v>13.0</v>
      </c>
      <c r="C17" s="49" t="s">
        <v>145</v>
      </c>
      <c r="D17" s="44" t="s">
        <v>132</v>
      </c>
      <c r="E17" s="44" t="s">
        <v>131</v>
      </c>
      <c r="F17" s="44" t="s">
        <v>132</v>
      </c>
      <c r="G17" s="44" t="s">
        <v>131</v>
      </c>
      <c r="H17" s="44" t="s">
        <v>132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45">
        <f t="shared" si="1"/>
        <v>0.6</v>
      </c>
      <c r="U17" s="46" t="str">
        <f t="shared" si="2"/>
        <v>INHABILITADO</v>
      </c>
      <c r="V17" s="10">
        <f>'CONTROL DE PARTICIPACIONES'!U17</f>
        <v>0</v>
      </c>
      <c r="W17" s="13">
        <f>'CONTROL DE PARTICIPACIONES'!W17</f>
        <v>5</v>
      </c>
      <c r="X17" s="16"/>
      <c r="Y17" s="16"/>
      <c r="Z17" s="16"/>
      <c r="AA17" s="47">
        <f t="shared" si="3"/>
        <v>2</v>
      </c>
      <c r="AB17" s="46" t="str">
        <f t="shared" si="4"/>
        <v>DPI (&lt;80%)</v>
      </c>
    </row>
    <row r="18" ht="18.0" customHeight="1">
      <c r="B18" s="10">
        <v>14.0</v>
      </c>
      <c r="C18" s="49" t="s">
        <v>146</v>
      </c>
      <c r="D18" s="44" t="s">
        <v>142</v>
      </c>
      <c r="E18" s="44" t="s">
        <v>142</v>
      </c>
      <c r="F18" s="44" t="s">
        <v>132</v>
      </c>
      <c r="G18" s="44" t="s">
        <v>131</v>
      </c>
      <c r="H18" s="44" t="s">
        <v>131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45">
        <f t="shared" si="1"/>
        <v>0.6</v>
      </c>
      <c r="U18" s="46" t="str">
        <f t="shared" si="2"/>
        <v>INHABILITADO</v>
      </c>
      <c r="V18" s="10">
        <f>'CONTROL DE PARTICIPACIONES'!U18</f>
        <v>0</v>
      </c>
      <c r="W18" s="13">
        <f>'CONTROL DE PARTICIPACIONES'!W18</f>
        <v>5</v>
      </c>
      <c r="X18" s="16"/>
      <c r="Y18" s="16"/>
      <c r="Z18" s="16"/>
      <c r="AA18" s="47">
        <f t="shared" si="3"/>
        <v>2</v>
      </c>
      <c r="AB18" s="46" t="str">
        <f t="shared" si="4"/>
        <v>DPI (&lt;80%)</v>
      </c>
    </row>
    <row r="19" ht="18.0" customHeight="1">
      <c r="B19" s="10">
        <v>15.0</v>
      </c>
      <c r="C19" s="49" t="s">
        <v>147</v>
      </c>
      <c r="D19" s="44" t="s">
        <v>132</v>
      </c>
      <c r="E19" s="44" t="s">
        <v>132</v>
      </c>
      <c r="F19" s="44" t="s">
        <v>132</v>
      </c>
      <c r="G19" s="44" t="s">
        <v>131</v>
      </c>
      <c r="H19" s="44" t="s">
        <v>132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45">
        <f t="shared" si="1"/>
        <v>0.8</v>
      </c>
      <c r="U19" s="46" t="str">
        <f t="shared" si="2"/>
        <v>APTO</v>
      </c>
      <c r="V19" s="10">
        <f>'CONTROL DE PARTICIPACIONES'!U19</f>
        <v>4</v>
      </c>
      <c r="W19" s="13">
        <f>'CONTROL DE PARTICIPACIONES'!W19</f>
        <v>11</v>
      </c>
      <c r="X19" s="16"/>
      <c r="Y19" s="16"/>
      <c r="Z19" s="16"/>
      <c r="AA19" s="47">
        <f t="shared" si="3"/>
        <v>4</v>
      </c>
      <c r="AB19" s="46" t="str">
        <f t="shared" si="4"/>
        <v>DESAPROBADO</v>
      </c>
    </row>
    <row r="20" ht="18.0" customHeight="1">
      <c r="B20" s="10">
        <v>16.0</v>
      </c>
      <c r="C20" s="49" t="s">
        <v>148</v>
      </c>
      <c r="D20" s="44" t="s">
        <v>132</v>
      </c>
      <c r="E20" s="44" t="s">
        <v>132</v>
      </c>
      <c r="F20" s="44" t="s">
        <v>131</v>
      </c>
      <c r="G20" s="44" t="s">
        <v>132</v>
      </c>
      <c r="H20" s="44" t="s">
        <v>132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45">
        <f t="shared" si="1"/>
        <v>0.8</v>
      </c>
      <c r="U20" s="46" t="str">
        <f t="shared" si="2"/>
        <v>APTO</v>
      </c>
      <c r="V20" s="10">
        <f>'CONTROL DE PARTICIPACIONES'!U20</f>
        <v>3</v>
      </c>
      <c r="W20" s="13">
        <f>'CONTROL DE PARTICIPACIONES'!W20</f>
        <v>10</v>
      </c>
      <c r="X20" s="16"/>
      <c r="Y20" s="16"/>
      <c r="Z20" s="16"/>
      <c r="AA20" s="47">
        <f t="shared" si="3"/>
        <v>4</v>
      </c>
      <c r="AB20" s="46" t="str">
        <f t="shared" si="4"/>
        <v>DESAPROBADO</v>
      </c>
    </row>
    <row r="21" ht="18.0" customHeight="1">
      <c r="B21" s="10">
        <v>17.0</v>
      </c>
      <c r="C21" s="5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45">
        <f t="shared" si="1"/>
        <v>0</v>
      </c>
      <c r="U21" s="46" t="str">
        <f t="shared" si="2"/>
        <v>SIN REGISTRO</v>
      </c>
      <c r="V21" s="10">
        <f>'CONTROL DE PARTICIPACIONES'!U21</f>
        <v>0</v>
      </c>
      <c r="W21" s="13">
        <f>'CONTROL DE PARTICIPACIONES'!W21</f>
        <v>5</v>
      </c>
      <c r="X21" s="16"/>
      <c r="Y21" s="16"/>
      <c r="Z21" s="16"/>
      <c r="AA21" s="47">
        <f t="shared" si="3"/>
        <v>2</v>
      </c>
      <c r="AB21" s="46" t="str">
        <f t="shared" si="4"/>
        <v>DPI (&lt;80%)</v>
      </c>
    </row>
    <row r="22" ht="18.0" customHeight="1">
      <c r="B22" s="10">
        <v>18.0</v>
      </c>
      <c r="C22" s="5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45">
        <f t="shared" si="1"/>
        <v>0</v>
      </c>
      <c r="U22" s="46" t="str">
        <f t="shared" si="2"/>
        <v>SIN REGISTRO</v>
      </c>
      <c r="V22" s="10">
        <f>'CONTROL DE PARTICIPACIONES'!U22</f>
        <v>0</v>
      </c>
      <c r="W22" s="13">
        <f>'CONTROL DE PARTICIPACIONES'!W22</f>
        <v>5</v>
      </c>
      <c r="X22" s="16"/>
      <c r="Y22" s="16"/>
      <c r="Z22" s="16"/>
      <c r="AA22" s="47">
        <f t="shared" si="3"/>
        <v>2</v>
      </c>
      <c r="AB22" s="46" t="str">
        <f t="shared" si="4"/>
        <v>DPI (&lt;80%)</v>
      </c>
    </row>
    <row r="23" ht="18.0" customHeight="1">
      <c r="B23" s="10">
        <v>19.0</v>
      </c>
      <c r="C23" s="5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45">
        <f t="shared" si="1"/>
        <v>0</v>
      </c>
      <c r="U23" s="46" t="str">
        <f t="shared" si="2"/>
        <v>SIN REGISTRO</v>
      </c>
      <c r="V23" s="10">
        <f>'CONTROL DE PARTICIPACIONES'!U23</f>
        <v>0</v>
      </c>
      <c r="W23" s="13">
        <f>'CONTROL DE PARTICIPACIONES'!W23</f>
        <v>5</v>
      </c>
      <c r="X23" s="16"/>
      <c r="Y23" s="16"/>
      <c r="Z23" s="16"/>
      <c r="AA23" s="47">
        <f t="shared" si="3"/>
        <v>2</v>
      </c>
      <c r="AB23" s="46" t="str">
        <f t="shared" si="4"/>
        <v>DPI (&lt;80%)</v>
      </c>
    </row>
    <row r="24" ht="18.0" customHeight="1">
      <c r="B24" s="10">
        <v>20.0</v>
      </c>
      <c r="C24" s="17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45">
        <f t="shared" si="1"/>
        <v>0</v>
      </c>
      <c r="U24" s="46" t="str">
        <f t="shared" si="2"/>
        <v>SIN REGISTRO</v>
      </c>
      <c r="V24" s="10">
        <f>'CONTROL DE PARTICIPACIONES'!U24</f>
        <v>0</v>
      </c>
      <c r="W24" s="13">
        <f>'CONTROL DE PARTICIPACIONES'!W24</f>
        <v>5</v>
      </c>
      <c r="X24" s="16"/>
      <c r="Y24" s="16"/>
      <c r="Z24" s="16"/>
      <c r="AA24" s="47">
        <f t="shared" si="3"/>
        <v>2</v>
      </c>
      <c r="AB24" s="46" t="str">
        <f t="shared" si="4"/>
        <v>DPI (&lt;80%)</v>
      </c>
    </row>
    <row r="25" ht="21.75" customHeight="1">
      <c r="B25" s="52" t="s">
        <v>149</v>
      </c>
      <c r="C25" s="6"/>
      <c r="D25" s="10">
        <f t="shared" ref="D25:S25" si="5">COUNTIF(D5:D24, "A")</f>
        <v>7</v>
      </c>
      <c r="E25" s="10">
        <f t="shared" si="5"/>
        <v>6</v>
      </c>
      <c r="F25" s="10">
        <f t="shared" si="5"/>
        <v>9</v>
      </c>
      <c r="G25" s="10">
        <f t="shared" si="5"/>
        <v>6</v>
      </c>
      <c r="H25" s="10">
        <f t="shared" si="5"/>
        <v>8</v>
      </c>
      <c r="I25" s="10">
        <f t="shared" si="5"/>
        <v>0</v>
      </c>
      <c r="J25" s="10">
        <f t="shared" si="5"/>
        <v>0</v>
      </c>
      <c r="K25" s="10">
        <f t="shared" si="5"/>
        <v>0</v>
      </c>
      <c r="L25" s="10">
        <f t="shared" si="5"/>
        <v>0</v>
      </c>
      <c r="M25" s="10">
        <f t="shared" si="5"/>
        <v>0</v>
      </c>
      <c r="N25" s="10">
        <f t="shared" si="5"/>
        <v>0</v>
      </c>
      <c r="O25" s="10">
        <f t="shared" si="5"/>
        <v>0</v>
      </c>
      <c r="P25" s="10">
        <f t="shared" si="5"/>
        <v>0</v>
      </c>
      <c r="Q25" s="10">
        <f t="shared" si="5"/>
        <v>0</v>
      </c>
      <c r="R25" s="10">
        <f t="shared" si="5"/>
        <v>0</v>
      </c>
      <c r="S25" s="10">
        <f t="shared" si="5"/>
        <v>0</v>
      </c>
      <c r="T25" s="53">
        <f>AVERAGE(T5:T24)</f>
        <v>0.43</v>
      </c>
      <c r="U25" s="54"/>
      <c r="V25" s="54">
        <f>AVERAGE(V5:V24)</f>
        <v>2</v>
      </c>
      <c r="W25" s="55">
        <f t="shared" ref="W25:AA25" si="6">ROUND(AVERAGE(W5:W24), 1)</f>
        <v>8.1</v>
      </c>
      <c r="X25" s="55" t="str">
        <f t="shared" si="6"/>
        <v>#DIV/0!</v>
      </c>
      <c r="Y25" s="55" t="str">
        <f t="shared" si="6"/>
        <v>#DIV/0!</v>
      </c>
      <c r="Z25" s="55" t="str">
        <f t="shared" si="6"/>
        <v>#DIV/0!</v>
      </c>
      <c r="AA25" s="55">
        <f t="shared" si="6"/>
        <v>3.2</v>
      </c>
      <c r="AB25" s="56" t="str">
        <f>COUNTIF(AB5:AB24, "APROBADO") &amp; " Aprobados"</f>
        <v>0 Aprobados</v>
      </c>
    </row>
    <row r="26" ht="21.75" customHeight="1">
      <c r="B26" s="57" t="s">
        <v>150</v>
      </c>
      <c r="C26" s="6"/>
      <c r="D26" s="58" t="s">
        <v>151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5">
    <mergeCell ref="D3:S3"/>
    <mergeCell ref="T3:U3"/>
    <mergeCell ref="B25:C25"/>
    <mergeCell ref="B26:C26"/>
    <mergeCell ref="D26:AB26"/>
    <mergeCell ref="V3:W3"/>
    <mergeCell ref="X3:Z3"/>
    <mergeCell ref="B1:C2"/>
    <mergeCell ref="D1:U1"/>
    <mergeCell ref="V1:AB1"/>
    <mergeCell ref="D2:M2"/>
    <mergeCell ref="N2:U2"/>
    <mergeCell ref="V2:AB2"/>
    <mergeCell ref="B3:C3"/>
    <mergeCell ref="AA3:AB3"/>
  </mergeCells>
  <conditionalFormatting sqref="D5:S24">
    <cfRule type="cellIs" dxfId="0" priority="1" stopIfTrue="1" operator="equal">
      <formula>"A"</formula>
    </cfRule>
  </conditionalFormatting>
  <conditionalFormatting sqref="D5:S24">
    <cfRule type="cellIs" dxfId="1" priority="2" stopIfTrue="1" operator="equal">
      <formula>"R"</formula>
    </cfRule>
  </conditionalFormatting>
  <conditionalFormatting sqref="D5:S24">
    <cfRule type="cellIs" dxfId="2" priority="3" stopIfTrue="1" operator="equal">
      <formula>"F"</formula>
    </cfRule>
  </conditionalFormatting>
  <conditionalFormatting sqref="AB5:AB24">
    <cfRule type="cellIs" dxfId="3" priority="4" stopIfTrue="1" operator="equal">
      <formula>"APROBADO"</formula>
    </cfRule>
  </conditionalFormatting>
  <conditionalFormatting sqref="AB5:AB24">
    <cfRule type="cellIs" dxfId="4" priority="5" stopIfTrue="1" operator="equal">
      <formula>"DESAPROBADO"</formula>
    </cfRule>
  </conditionalFormatting>
  <conditionalFormatting sqref="AB5:AB24">
    <cfRule type="cellIs" dxfId="4" priority="6" stopIfTrue="1" operator="equal">
      <formula>"DPI (&lt;80%)"</formula>
    </cfRule>
  </conditionalFormatting>
  <dataValidations>
    <dataValidation type="list" allowBlank="1" showInputMessage="1" showErrorMessage="1" prompt="Código inválido - Seleccione: A (Asistencia), F (Falta) o R (Retardo)" sqref="D5:S24">
      <formula1>'DATOS Y RÚBRICA'!$B$7:$B$9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4.86"/>
    <col customWidth="1" min="3" max="3" width="36.0"/>
    <col customWidth="1" min="4" max="19" width="6.14"/>
    <col customWidth="1" min="20" max="20" width="9.0"/>
    <col customWidth="1" min="21" max="22" width="10.0"/>
    <col customWidth="1" min="23" max="23" width="11.43"/>
    <col customWidth="1" min="24" max="24" width="17.0"/>
    <col customWidth="1" min="25" max="26" width="8.71"/>
  </cols>
  <sheetData>
    <row r="1" ht="27.75" customHeight="1">
      <c r="B1" s="24" t="s">
        <v>152</v>
      </c>
      <c r="C1" s="25"/>
      <c r="D1" s="26" t="s">
        <v>153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ht="25.5" customHeight="1">
      <c r="B2" s="28"/>
      <c r="C2" s="29"/>
      <c r="D2" s="30" t="s">
        <v>94</v>
      </c>
      <c r="E2" s="5"/>
      <c r="F2" s="5"/>
      <c r="G2" s="5"/>
      <c r="H2" s="5"/>
      <c r="I2" s="5"/>
      <c r="J2" s="5"/>
      <c r="K2" s="5"/>
      <c r="L2" s="5"/>
      <c r="M2" s="6"/>
      <c r="N2" s="32" t="s">
        <v>154</v>
      </c>
      <c r="O2" s="5"/>
      <c r="P2" s="5"/>
      <c r="Q2" s="5"/>
      <c r="R2" s="5"/>
      <c r="S2" s="5"/>
      <c r="T2" s="5"/>
      <c r="U2" s="5"/>
      <c r="V2" s="5"/>
      <c r="W2" s="5"/>
      <c r="X2" s="6"/>
    </row>
    <row r="3" ht="24.0" customHeight="1">
      <c r="B3" s="26" t="s">
        <v>97</v>
      </c>
      <c r="C3" s="6"/>
      <c r="D3" s="26" t="s">
        <v>155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  <c r="T3" s="59" t="s">
        <v>156</v>
      </c>
      <c r="U3" s="5"/>
      <c r="V3" s="5"/>
      <c r="W3" s="5"/>
      <c r="X3" s="6"/>
    </row>
    <row r="4" ht="21.75" customHeight="1">
      <c r="B4" s="35" t="s">
        <v>103</v>
      </c>
      <c r="C4" s="35" t="s">
        <v>104</v>
      </c>
      <c r="D4" s="36" t="s">
        <v>105</v>
      </c>
      <c r="E4" s="36" t="s">
        <v>106</v>
      </c>
      <c r="F4" s="36" t="s">
        <v>107</v>
      </c>
      <c r="G4" s="36" t="s">
        <v>108</v>
      </c>
      <c r="H4" s="36" t="s">
        <v>109</v>
      </c>
      <c r="I4" s="40" t="s">
        <v>110</v>
      </c>
      <c r="J4" s="36" t="s">
        <v>111</v>
      </c>
      <c r="K4" s="36" t="s">
        <v>112</v>
      </c>
      <c r="L4" s="36" t="s">
        <v>113</v>
      </c>
      <c r="M4" s="36" t="s">
        <v>114</v>
      </c>
      <c r="N4" s="36" t="s">
        <v>115</v>
      </c>
      <c r="O4" s="40" t="s">
        <v>116</v>
      </c>
      <c r="P4" s="36" t="s">
        <v>117</v>
      </c>
      <c r="Q4" s="36" t="s">
        <v>118</v>
      </c>
      <c r="R4" s="36" t="s">
        <v>119</v>
      </c>
      <c r="S4" s="41" t="s">
        <v>120</v>
      </c>
      <c r="T4" s="39" t="s">
        <v>157</v>
      </c>
      <c r="U4" s="42" t="s">
        <v>123</v>
      </c>
      <c r="V4" s="42" t="s">
        <v>158</v>
      </c>
      <c r="W4" s="60" t="s">
        <v>159</v>
      </c>
      <c r="X4" s="42" t="s">
        <v>160</v>
      </c>
    </row>
    <row r="5" ht="18.0" customHeight="1">
      <c r="B5" s="10">
        <v>1.0</v>
      </c>
      <c r="C5" s="17" t="str">
        <f>'REGISTRO COMPLETO (SÍLABO)'!C5</f>
        <v>NURIED ARLET ATOCHE ORELLANA</v>
      </c>
      <c r="D5" s="44">
        <v>1.0</v>
      </c>
      <c r="E5" s="44">
        <v>1.0</v>
      </c>
      <c r="F5" s="44">
        <v>1.0</v>
      </c>
      <c r="G5" s="44">
        <v>0.0</v>
      </c>
      <c r="H5" s="44">
        <v>0.0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45">
        <f>'REGISTRO COMPLETO (SÍLABO)'!T5</f>
        <v>0.6</v>
      </c>
      <c r="U5" s="10">
        <f t="shared" ref="U5:U24" si="1">SUM(D5:S5)</f>
        <v>3</v>
      </c>
      <c r="V5" s="16">
        <f t="shared" ref="V5:V24" si="2">COUNTIF(D5:S5, "&gt;0")</f>
        <v>3</v>
      </c>
      <c r="W5" s="61">
        <f t="shared" ref="W5:W24" si="3">ROUND(IF(U5=0, 5, IF(U5&lt;=3, 7 + (U5-1)*1.5, IF(U5&lt;=7, 11 + (U5-4)*1.66, MIN(20, 17 + (U5-8)*0.5)))), 0)</f>
        <v>10</v>
      </c>
      <c r="X5" s="46" t="str">
        <f t="shared" ref="X5:X24" si="4">IF(W5&gt;=17, "DESTACADO (17-20)", IF(W5&gt;=11, "ACTIVO (11-16)", IF(W5&gt;=7, "EN PROCESO (07-10)", "INICIAL (00-06)"))) </f>
        <v>EN PROCESO (07-10)</v>
      </c>
    </row>
    <row r="6" ht="18.0" customHeight="1">
      <c r="B6" s="10">
        <v>2.0</v>
      </c>
      <c r="C6" s="17" t="str">
        <f>'REGISTRO COMPLETO (SÍLABO)'!C6</f>
        <v>ESTHER ZULEYKA BAYONA PAREDES</v>
      </c>
      <c r="D6" s="44">
        <v>2.0</v>
      </c>
      <c r="E6" s="44">
        <v>2.0</v>
      </c>
      <c r="F6" s="44">
        <v>3.0</v>
      </c>
      <c r="G6" s="44">
        <v>0.0</v>
      </c>
      <c r="H6" s="44">
        <v>0.0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45">
        <f>'REGISTRO COMPLETO (SÍLABO)'!T6</f>
        <v>0.8</v>
      </c>
      <c r="U6" s="10">
        <f t="shared" si="1"/>
        <v>7</v>
      </c>
      <c r="V6" s="16">
        <f t="shared" si="2"/>
        <v>3</v>
      </c>
      <c r="W6" s="61">
        <f t="shared" si="3"/>
        <v>16</v>
      </c>
      <c r="X6" s="46" t="str">
        <f t="shared" si="4"/>
        <v>ACTIVO (11-16)</v>
      </c>
    </row>
    <row r="7" ht="18.0" customHeight="1">
      <c r="B7" s="10">
        <v>3.0</v>
      </c>
      <c r="C7" s="17" t="str">
        <f>'REGISTRO COMPLETO (SÍLABO)'!C7</f>
        <v>RODOLFO VALENTINO BONILLA VALLEJOS</v>
      </c>
      <c r="D7" s="44">
        <v>0.0</v>
      </c>
      <c r="E7" s="44">
        <v>0.0</v>
      </c>
      <c r="F7" s="44">
        <v>0.0</v>
      </c>
      <c r="G7" s="44">
        <v>0.0</v>
      </c>
      <c r="H7" s="44">
        <v>0.0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45">
        <f>'REGISTRO COMPLETO (SÍLABO)'!T7</f>
        <v>0.2</v>
      </c>
      <c r="U7" s="10">
        <f t="shared" si="1"/>
        <v>0</v>
      </c>
      <c r="V7" s="16">
        <f t="shared" si="2"/>
        <v>0</v>
      </c>
      <c r="W7" s="61">
        <f t="shared" si="3"/>
        <v>5</v>
      </c>
      <c r="X7" s="46" t="str">
        <f t="shared" si="4"/>
        <v>INICIAL (00-06)</v>
      </c>
    </row>
    <row r="8" ht="18.0" customHeight="1">
      <c r="B8" s="10">
        <v>4.0</v>
      </c>
      <c r="C8" s="17" t="str">
        <f>'REGISTRO COMPLETO (SÍLABO)'!C8</f>
        <v>NATAN RAY CABRERA ACUÑA</v>
      </c>
      <c r="D8" s="44">
        <v>0.0</v>
      </c>
      <c r="E8" s="44">
        <v>0.0</v>
      </c>
      <c r="F8" s="44">
        <v>0.0</v>
      </c>
      <c r="G8" s="44">
        <v>0.0</v>
      </c>
      <c r="H8" s="44">
        <v>0.0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45">
        <f>'REGISTRO COMPLETO (SÍLABO)'!T8</f>
        <v>0</v>
      </c>
      <c r="U8" s="10">
        <f t="shared" si="1"/>
        <v>0</v>
      </c>
      <c r="V8" s="16">
        <f t="shared" si="2"/>
        <v>0</v>
      </c>
      <c r="W8" s="61">
        <f t="shared" si="3"/>
        <v>5</v>
      </c>
      <c r="X8" s="46" t="str">
        <f t="shared" si="4"/>
        <v>INICIAL (00-06)</v>
      </c>
    </row>
    <row r="9" ht="18.0" customHeight="1">
      <c r="B9" s="10">
        <v>5.0</v>
      </c>
      <c r="C9" s="17" t="str">
        <f>'REGISTRO COMPLETO (SÍLABO)'!C9</f>
        <v>JOSE FABRICIO CASTAÑEDA COTRINA</v>
      </c>
      <c r="D9" s="44">
        <v>0.0</v>
      </c>
      <c r="E9" s="44">
        <v>0.0</v>
      </c>
      <c r="F9" s="44">
        <v>0.0</v>
      </c>
      <c r="G9" s="44">
        <v>0.0</v>
      </c>
      <c r="H9" s="44">
        <v>0.0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45">
        <f>'REGISTRO COMPLETO (SÍLABO)'!T9</f>
        <v>0</v>
      </c>
      <c r="U9" s="10">
        <f t="shared" si="1"/>
        <v>0</v>
      </c>
      <c r="V9" s="16">
        <f t="shared" si="2"/>
        <v>0</v>
      </c>
      <c r="W9" s="61">
        <f t="shared" si="3"/>
        <v>5</v>
      </c>
      <c r="X9" s="46" t="str">
        <f t="shared" si="4"/>
        <v>INICIAL (00-06)</v>
      </c>
    </row>
    <row r="10" ht="18.0" customHeight="1">
      <c r="B10" s="10">
        <v>6.0</v>
      </c>
      <c r="C10" s="17" t="str">
        <f>'REGISTRO COMPLETO (SÍLABO)'!C10</f>
        <v>DAYHELI ANGELINE CASTILLO ARCELA</v>
      </c>
      <c r="D10" s="44">
        <v>0.0</v>
      </c>
      <c r="E10" s="44">
        <v>0.0</v>
      </c>
      <c r="F10" s="44">
        <v>0.0</v>
      </c>
      <c r="G10" s="44">
        <v>0.0</v>
      </c>
      <c r="H10" s="44">
        <v>0.0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45">
        <f>'REGISTRO COMPLETO (SÍLABO)'!T10</f>
        <v>0</v>
      </c>
      <c r="U10" s="10">
        <f t="shared" si="1"/>
        <v>0</v>
      </c>
      <c r="V10" s="16">
        <f t="shared" si="2"/>
        <v>0</v>
      </c>
      <c r="W10" s="61">
        <f t="shared" si="3"/>
        <v>5</v>
      </c>
      <c r="X10" s="46" t="str">
        <f t="shared" si="4"/>
        <v>INICIAL (00-06)</v>
      </c>
    </row>
    <row r="11" ht="18.0" customHeight="1">
      <c r="B11" s="10">
        <v>7.0</v>
      </c>
      <c r="C11" s="17" t="str">
        <f>'REGISTRO COMPLETO (SÍLABO)'!C11</f>
        <v>JUAN D'ALESSANDRO CUSTODIO CAMPOS</v>
      </c>
      <c r="D11" s="44">
        <v>0.0</v>
      </c>
      <c r="E11" s="44">
        <v>0.0</v>
      </c>
      <c r="F11" s="44">
        <v>0.0</v>
      </c>
      <c r="G11" s="44">
        <v>0.0</v>
      </c>
      <c r="H11" s="44">
        <v>0.0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45">
        <f>'REGISTRO COMPLETO (SÍLABO)'!T11</f>
        <v>0.6</v>
      </c>
      <c r="U11" s="10">
        <f t="shared" si="1"/>
        <v>0</v>
      </c>
      <c r="V11" s="16">
        <f t="shared" si="2"/>
        <v>0</v>
      </c>
      <c r="W11" s="61">
        <f t="shared" si="3"/>
        <v>5</v>
      </c>
      <c r="X11" s="46" t="str">
        <f t="shared" si="4"/>
        <v>INICIAL (00-06)</v>
      </c>
    </row>
    <row r="12" ht="18.0" customHeight="1">
      <c r="B12" s="10">
        <v>8.0</v>
      </c>
      <c r="C12" s="17" t="str">
        <f>'REGISTRO COMPLETO (SÍLABO)'!C12</f>
        <v>ANYILI PIERINA DIAZ CARRASCO</v>
      </c>
      <c r="D12" s="44">
        <v>1.0</v>
      </c>
      <c r="E12" s="44">
        <v>1.0</v>
      </c>
      <c r="F12" s="44">
        <v>1.0</v>
      </c>
      <c r="G12" s="44">
        <v>0.0</v>
      </c>
      <c r="H12" s="44">
        <v>0.0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45">
        <f>'REGISTRO COMPLETO (SÍLABO)'!T12</f>
        <v>0.8</v>
      </c>
      <c r="U12" s="10">
        <f t="shared" si="1"/>
        <v>3</v>
      </c>
      <c r="V12" s="16">
        <f t="shared" si="2"/>
        <v>3</v>
      </c>
      <c r="W12" s="61">
        <f t="shared" si="3"/>
        <v>10</v>
      </c>
      <c r="X12" s="46" t="str">
        <f t="shared" si="4"/>
        <v>EN PROCESO (07-10)</v>
      </c>
    </row>
    <row r="13" ht="18.0" customHeight="1">
      <c r="B13" s="10">
        <v>9.0</v>
      </c>
      <c r="C13" s="17" t="str">
        <f>'REGISTRO COMPLETO (SÍLABO)'!C13</f>
        <v>CESAR ENRIQUE FARROÑAN SANCHEZ</v>
      </c>
      <c r="D13" s="44">
        <v>1.0</v>
      </c>
      <c r="E13" s="44">
        <v>2.0</v>
      </c>
      <c r="F13" s="44">
        <v>1.0</v>
      </c>
      <c r="G13" s="44">
        <v>2.0</v>
      </c>
      <c r="H13" s="44">
        <v>0.0</v>
      </c>
      <c r="I13" s="10"/>
      <c r="J13" s="10"/>
      <c r="K13" s="10"/>
      <c r="L13" s="10"/>
      <c r="M13" s="10"/>
      <c r="N13" s="10"/>
      <c r="O13" s="44"/>
      <c r="P13" s="44"/>
      <c r="Q13" s="44"/>
      <c r="R13" s="44"/>
      <c r="S13" s="44"/>
      <c r="T13" s="45">
        <f>'REGISTRO COMPLETO (SÍLABO)'!T13</f>
        <v>0.6</v>
      </c>
      <c r="U13" s="10">
        <f t="shared" si="1"/>
        <v>6</v>
      </c>
      <c r="V13" s="16">
        <f t="shared" si="2"/>
        <v>4</v>
      </c>
      <c r="W13" s="61">
        <f t="shared" si="3"/>
        <v>14</v>
      </c>
      <c r="X13" s="46" t="str">
        <f t="shared" si="4"/>
        <v>ACTIVO (11-16)</v>
      </c>
    </row>
    <row r="14" ht="18.0" customHeight="1">
      <c r="B14" s="10">
        <v>10.0</v>
      </c>
      <c r="C14" s="17" t="str">
        <f>'REGISTRO COMPLETO (SÍLABO)'!C14</f>
        <v>JOSUE ALBANO GALVEZ ODAR</v>
      </c>
      <c r="D14" s="44">
        <v>0.0</v>
      </c>
      <c r="E14" s="44">
        <v>0.0</v>
      </c>
      <c r="F14" s="44">
        <v>0.0</v>
      </c>
      <c r="G14" s="44">
        <v>0.0</v>
      </c>
      <c r="H14" s="44">
        <v>0.0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45">
        <f>'REGISTRO COMPLETO (SÍLABO)'!T14</f>
        <v>0.6</v>
      </c>
      <c r="U14" s="10">
        <f t="shared" si="1"/>
        <v>0</v>
      </c>
      <c r="V14" s="16">
        <f t="shared" si="2"/>
        <v>0</v>
      </c>
      <c r="W14" s="61">
        <f t="shared" si="3"/>
        <v>5</v>
      </c>
      <c r="X14" s="46" t="str">
        <f t="shared" si="4"/>
        <v>INICIAL (00-06)</v>
      </c>
    </row>
    <row r="15" ht="18.0" customHeight="1">
      <c r="B15" s="10">
        <v>11.0</v>
      </c>
      <c r="C15" s="17" t="str">
        <f>'REGISTRO COMPLETO (SÍLABO)'!C15</f>
        <v>HILDER YOSMAN LARA TINEO</v>
      </c>
      <c r="D15" s="44">
        <v>1.0</v>
      </c>
      <c r="E15" s="44">
        <v>1.0</v>
      </c>
      <c r="F15" s="44">
        <v>1.0</v>
      </c>
      <c r="G15" s="44">
        <v>0.0</v>
      </c>
      <c r="H15" s="44">
        <v>2.0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45">
        <f>'REGISTRO COMPLETO (SÍLABO)'!T15</f>
        <v>0.8</v>
      </c>
      <c r="U15" s="10">
        <f t="shared" si="1"/>
        <v>5</v>
      </c>
      <c r="V15" s="16">
        <f t="shared" si="2"/>
        <v>4</v>
      </c>
      <c r="W15" s="61">
        <f t="shared" si="3"/>
        <v>13</v>
      </c>
      <c r="X15" s="46" t="str">
        <f t="shared" si="4"/>
        <v>ACTIVO (11-16)</v>
      </c>
    </row>
    <row r="16" ht="18.0" customHeight="1">
      <c r="B16" s="10">
        <v>12.0</v>
      </c>
      <c r="C16" s="17" t="str">
        <f>'REGISTRO COMPLETO (SÍLABO)'!C16</f>
        <v>JENIFFER KIMBERLY MANAYALLE DELGADO</v>
      </c>
      <c r="D16" s="44">
        <v>3.0</v>
      </c>
      <c r="E16" s="44">
        <v>3.0</v>
      </c>
      <c r="F16" s="44">
        <v>3.0</v>
      </c>
      <c r="G16" s="44">
        <v>0.0</v>
      </c>
      <c r="H16" s="44">
        <v>0.0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45">
        <f>'REGISTRO COMPLETO (SÍLABO)'!T16</f>
        <v>0.8</v>
      </c>
      <c r="U16" s="10">
        <f t="shared" si="1"/>
        <v>9</v>
      </c>
      <c r="V16" s="16">
        <f t="shared" si="2"/>
        <v>3</v>
      </c>
      <c r="W16" s="61">
        <f t="shared" si="3"/>
        <v>18</v>
      </c>
      <c r="X16" s="46" t="str">
        <f t="shared" si="4"/>
        <v>DESTACADO (17-20)</v>
      </c>
    </row>
    <row r="17" ht="18.0" customHeight="1">
      <c r="B17" s="10">
        <v>13.0</v>
      </c>
      <c r="C17" s="17" t="str">
        <f>'REGISTRO COMPLETO (SÍLABO)'!C17</f>
        <v>JELBER MAYKOL RODRIGUEZ ALDAZ</v>
      </c>
      <c r="D17" s="44">
        <v>0.0</v>
      </c>
      <c r="E17" s="44">
        <v>0.0</v>
      </c>
      <c r="F17" s="44">
        <v>0.0</v>
      </c>
      <c r="G17" s="44">
        <v>0.0</v>
      </c>
      <c r="H17" s="44">
        <v>0.0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45">
        <f>'REGISTRO COMPLETO (SÍLABO)'!T17</f>
        <v>0.6</v>
      </c>
      <c r="U17" s="10">
        <f t="shared" si="1"/>
        <v>0</v>
      </c>
      <c r="V17" s="16">
        <f t="shared" si="2"/>
        <v>0</v>
      </c>
      <c r="W17" s="61">
        <f t="shared" si="3"/>
        <v>5</v>
      </c>
      <c r="X17" s="46" t="str">
        <f t="shared" si="4"/>
        <v>INICIAL (00-06)</v>
      </c>
    </row>
    <row r="18" ht="18.0" customHeight="1">
      <c r="B18" s="10">
        <v>14.0</v>
      </c>
      <c r="C18" s="17" t="str">
        <f>'REGISTRO COMPLETO (SÍLABO)'!C18</f>
        <v>GRECIA CATHERINE SAMILLAN ALTAMIRANO</v>
      </c>
      <c r="D18" s="44">
        <v>0.0</v>
      </c>
      <c r="E18" s="44">
        <v>0.0</v>
      </c>
      <c r="F18" s="44">
        <v>0.0</v>
      </c>
      <c r="G18" s="44">
        <v>0.0</v>
      </c>
      <c r="H18" s="44">
        <v>0.0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45">
        <f>'REGISTRO COMPLETO (SÍLABO)'!T18</f>
        <v>0.6</v>
      </c>
      <c r="U18" s="10">
        <f t="shared" si="1"/>
        <v>0</v>
      </c>
      <c r="V18" s="16">
        <f t="shared" si="2"/>
        <v>0</v>
      </c>
      <c r="W18" s="61">
        <f t="shared" si="3"/>
        <v>5</v>
      </c>
      <c r="X18" s="46" t="str">
        <f t="shared" si="4"/>
        <v>INICIAL (00-06)</v>
      </c>
    </row>
    <row r="19" ht="18.0" customHeight="1">
      <c r="B19" s="10">
        <v>15.0</v>
      </c>
      <c r="C19" s="17" t="str">
        <f>'REGISTRO COMPLETO (SÍLABO)'!C19</f>
        <v>SELENA MARICIELO TORO BOCANEGRA</v>
      </c>
      <c r="D19" s="44">
        <v>1.0</v>
      </c>
      <c r="E19" s="44">
        <v>1.0</v>
      </c>
      <c r="F19" s="44">
        <v>2.0</v>
      </c>
      <c r="G19" s="44">
        <v>0.0</v>
      </c>
      <c r="H19" s="44">
        <v>0.0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45">
        <f>'REGISTRO COMPLETO (SÍLABO)'!T19</f>
        <v>0.8</v>
      </c>
      <c r="U19" s="10">
        <f t="shared" si="1"/>
        <v>4</v>
      </c>
      <c r="V19" s="16">
        <f t="shared" si="2"/>
        <v>3</v>
      </c>
      <c r="W19" s="61">
        <f t="shared" si="3"/>
        <v>11</v>
      </c>
      <c r="X19" s="46" t="str">
        <f t="shared" si="4"/>
        <v>ACTIVO (11-16)</v>
      </c>
    </row>
    <row r="20" ht="18.0" customHeight="1">
      <c r="B20" s="10">
        <v>16.0</v>
      </c>
      <c r="C20" s="17" t="str">
        <f>'REGISTRO COMPLETO (SÍLABO)'!C20</f>
        <v>DANIEL ANTONIO VIDARTE VIDARTE</v>
      </c>
      <c r="D20" s="44">
        <v>1.0</v>
      </c>
      <c r="E20" s="44">
        <v>1.0</v>
      </c>
      <c r="F20" s="44">
        <v>1.0</v>
      </c>
      <c r="G20" s="44">
        <v>0.0</v>
      </c>
      <c r="H20" s="44">
        <v>0.0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45">
        <f>'REGISTRO COMPLETO (SÍLABO)'!T20</f>
        <v>0.8</v>
      </c>
      <c r="U20" s="10">
        <f t="shared" si="1"/>
        <v>3</v>
      </c>
      <c r="V20" s="16">
        <f t="shared" si="2"/>
        <v>3</v>
      </c>
      <c r="W20" s="61">
        <f t="shared" si="3"/>
        <v>10</v>
      </c>
      <c r="X20" s="46" t="str">
        <f t="shared" si="4"/>
        <v>EN PROCESO (07-10)</v>
      </c>
    </row>
    <row r="21" ht="18.0" customHeight="1">
      <c r="B21" s="10">
        <v>17.0</v>
      </c>
      <c r="C21" s="17" t="str">
        <f>'REGISTRO COMPLETO (SÍLABO)'!C21</f>
        <v/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45">
        <f>'REGISTRO COMPLETO (SÍLABO)'!T21</f>
        <v>0</v>
      </c>
      <c r="U21" s="10">
        <f t="shared" si="1"/>
        <v>0</v>
      </c>
      <c r="V21" s="16">
        <f t="shared" si="2"/>
        <v>0</v>
      </c>
      <c r="W21" s="61">
        <f t="shared" si="3"/>
        <v>5</v>
      </c>
      <c r="X21" s="46" t="str">
        <f t="shared" si="4"/>
        <v>INICIAL (00-06)</v>
      </c>
    </row>
    <row r="22" ht="18.0" customHeight="1">
      <c r="B22" s="10">
        <v>18.0</v>
      </c>
      <c r="C22" s="17" t="str">
        <f>'REGISTRO COMPLETO (SÍLABO)'!C22</f>
        <v/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45">
        <f>'REGISTRO COMPLETO (SÍLABO)'!T22</f>
        <v>0</v>
      </c>
      <c r="U22" s="10">
        <f t="shared" si="1"/>
        <v>0</v>
      </c>
      <c r="V22" s="16">
        <f t="shared" si="2"/>
        <v>0</v>
      </c>
      <c r="W22" s="61">
        <f t="shared" si="3"/>
        <v>5</v>
      </c>
      <c r="X22" s="46" t="str">
        <f t="shared" si="4"/>
        <v>INICIAL (00-06)</v>
      </c>
    </row>
    <row r="23" ht="18.0" customHeight="1">
      <c r="B23" s="10">
        <v>19.0</v>
      </c>
      <c r="C23" s="17" t="str">
        <f>'REGISTRO COMPLETO (SÍLABO)'!C23</f>
        <v/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45">
        <f>'REGISTRO COMPLETO (SÍLABO)'!T23</f>
        <v>0</v>
      </c>
      <c r="U23" s="10">
        <f t="shared" si="1"/>
        <v>0</v>
      </c>
      <c r="V23" s="16">
        <f t="shared" si="2"/>
        <v>0</v>
      </c>
      <c r="W23" s="61">
        <f t="shared" si="3"/>
        <v>5</v>
      </c>
      <c r="X23" s="46" t="str">
        <f t="shared" si="4"/>
        <v>INICIAL (00-06)</v>
      </c>
    </row>
    <row r="24" ht="18.0" customHeight="1">
      <c r="B24" s="10">
        <v>20.0</v>
      </c>
      <c r="C24" s="17" t="str">
        <f>'REGISTRO COMPLETO (SÍLABO)'!C24</f>
        <v/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45">
        <f>'REGISTRO COMPLETO (SÍLABO)'!T24</f>
        <v>0</v>
      </c>
      <c r="U24" s="10">
        <f t="shared" si="1"/>
        <v>0</v>
      </c>
      <c r="V24" s="16">
        <f t="shared" si="2"/>
        <v>0</v>
      </c>
      <c r="W24" s="61">
        <f t="shared" si="3"/>
        <v>5</v>
      </c>
      <c r="X24" s="46" t="str">
        <f t="shared" si="4"/>
        <v>INICIAL (00-06)</v>
      </c>
    </row>
    <row r="25" ht="21.75" customHeight="1">
      <c r="B25" s="52" t="s">
        <v>161</v>
      </c>
      <c r="C25" s="6"/>
      <c r="D25" s="10">
        <f t="shared" ref="D25:S25" si="5">SUM(D5:D24)</f>
        <v>11</v>
      </c>
      <c r="E25" s="10">
        <f t="shared" si="5"/>
        <v>12</v>
      </c>
      <c r="F25" s="10">
        <f t="shared" si="5"/>
        <v>13</v>
      </c>
      <c r="G25" s="10">
        <f t="shared" si="5"/>
        <v>2</v>
      </c>
      <c r="H25" s="10">
        <f t="shared" si="5"/>
        <v>2</v>
      </c>
      <c r="I25" s="10">
        <f t="shared" si="5"/>
        <v>0</v>
      </c>
      <c r="J25" s="10">
        <f t="shared" si="5"/>
        <v>0</v>
      </c>
      <c r="K25" s="10">
        <f t="shared" si="5"/>
        <v>0</v>
      </c>
      <c r="L25" s="10">
        <f t="shared" si="5"/>
        <v>0</v>
      </c>
      <c r="M25" s="10">
        <f t="shared" si="5"/>
        <v>0</v>
      </c>
      <c r="N25" s="10">
        <f t="shared" si="5"/>
        <v>0</v>
      </c>
      <c r="O25" s="10">
        <f t="shared" si="5"/>
        <v>0</v>
      </c>
      <c r="P25" s="10">
        <f t="shared" si="5"/>
        <v>0</v>
      </c>
      <c r="Q25" s="10">
        <f t="shared" si="5"/>
        <v>0</v>
      </c>
      <c r="R25" s="10">
        <f t="shared" si="5"/>
        <v>0</v>
      </c>
      <c r="S25" s="10">
        <f t="shared" si="5"/>
        <v>0</v>
      </c>
      <c r="T25" s="54"/>
      <c r="U25" s="55">
        <f>SUM(U5:U24)</f>
        <v>40</v>
      </c>
      <c r="V25" s="54"/>
      <c r="W25" s="55">
        <f>ROUND(AVERAGE(W5:W24), 1)</f>
        <v>8.1</v>
      </c>
      <c r="X25" s="54"/>
    </row>
    <row r="26" ht="21.75" customHeight="1">
      <c r="B26" s="57" t="s">
        <v>162</v>
      </c>
      <c r="C26" s="6"/>
      <c r="D26" s="58" t="s">
        <v>163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0">
    <mergeCell ref="B25:C25"/>
    <mergeCell ref="B26:C26"/>
    <mergeCell ref="D26:X26"/>
    <mergeCell ref="B1:C2"/>
    <mergeCell ref="D1:X1"/>
    <mergeCell ref="D2:M2"/>
    <mergeCell ref="N2:X2"/>
    <mergeCell ref="B3:C3"/>
    <mergeCell ref="D3:S3"/>
    <mergeCell ref="T3:X3"/>
  </mergeCells>
  <conditionalFormatting sqref="W5:W24">
    <cfRule type="cellIs" dxfId="3" priority="1" stopIfTrue="1" operator="greaterThanOrEqual">
      <formula>17</formula>
    </cfRule>
  </conditionalFormatting>
  <conditionalFormatting sqref="W5:W24">
    <cfRule type="cellIs" dxfId="5" priority="2" stopIfTrue="1" operator="greaterThanOrEqual">
      <formula>11</formula>
    </cfRule>
  </conditionalFormatting>
  <conditionalFormatting sqref="W5:W24">
    <cfRule type="cellIs" dxfId="4" priority="3" stopIfTrue="1" operator="lessThan">
      <formula>11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4.86"/>
    <col customWidth="1" min="3" max="3" width="36.0"/>
    <col customWidth="1" min="4" max="8" width="9.0"/>
    <col customWidth="1" min="9" max="9" width="11.0"/>
    <col customWidth="1" min="10" max="10" width="14.0"/>
    <col customWidth="1" min="11" max="26" width="8.71"/>
  </cols>
  <sheetData>
    <row r="1" ht="25.5" customHeight="1">
      <c r="B1" s="62" t="s">
        <v>164</v>
      </c>
      <c r="C1" s="25"/>
      <c r="D1" s="26" t="s">
        <v>165</v>
      </c>
      <c r="E1" s="5"/>
      <c r="F1" s="5"/>
      <c r="G1" s="5"/>
      <c r="H1" s="5"/>
      <c r="I1" s="5"/>
      <c r="J1" s="6"/>
    </row>
    <row r="2" ht="25.5" customHeight="1">
      <c r="B2" s="28"/>
      <c r="C2" s="29"/>
      <c r="D2" s="63" t="s">
        <v>166</v>
      </c>
      <c r="E2" s="5"/>
      <c r="F2" s="5"/>
      <c r="G2" s="5"/>
      <c r="H2" s="5"/>
      <c r="I2" s="5"/>
      <c r="J2" s="6"/>
    </row>
    <row r="3" ht="21.75" customHeight="1">
      <c r="B3" s="26" t="s">
        <v>167</v>
      </c>
      <c r="C3" s="6"/>
      <c r="D3" s="64" t="s">
        <v>37</v>
      </c>
      <c r="E3" s="64" t="s">
        <v>44</v>
      </c>
      <c r="F3" s="64" t="s">
        <v>37</v>
      </c>
      <c r="G3" s="64" t="s">
        <v>44</v>
      </c>
      <c r="H3" s="64" t="s">
        <v>37</v>
      </c>
      <c r="I3" s="15" t="s">
        <v>121</v>
      </c>
      <c r="J3" s="15" t="s">
        <v>122</v>
      </c>
    </row>
    <row r="4" ht="19.5" customHeight="1">
      <c r="B4" s="35" t="s">
        <v>103</v>
      </c>
      <c r="C4" s="35" t="s">
        <v>104</v>
      </c>
      <c r="D4" s="65" t="s">
        <v>38</v>
      </c>
      <c r="E4" s="65" t="s">
        <v>45</v>
      </c>
      <c r="F4" s="65" t="s">
        <v>48</v>
      </c>
      <c r="G4" s="65" t="s">
        <v>51</v>
      </c>
      <c r="H4" s="65" t="s">
        <v>54</v>
      </c>
      <c r="I4" s="66" t="s">
        <v>168</v>
      </c>
      <c r="J4" s="66" t="s">
        <v>169</v>
      </c>
    </row>
    <row r="5" ht="18.0" customHeight="1">
      <c r="B5" s="10">
        <v>1.0</v>
      </c>
      <c r="C5" s="67" t="str">
        <f>'REGISTRO COMPLETO (SÍLABO)'!C5</f>
        <v>NURIED ARLET ATOCHE ORELLANA</v>
      </c>
      <c r="D5" s="10" t="str">
        <f>'REGISTRO COMPLETO (SÍLABO)'!D5</f>
        <v>F</v>
      </c>
      <c r="E5" s="10" t="str">
        <f>'REGISTRO COMPLETO (SÍLABO)'!E5</f>
        <v>A</v>
      </c>
      <c r="F5" s="10" t="str">
        <f>'REGISTRO COMPLETO (SÍLABO)'!F5</f>
        <v>A</v>
      </c>
      <c r="G5" s="10" t="str">
        <f>'REGISTRO COMPLETO (SÍLABO)'!G5</f>
        <v>A</v>
      </c>
      <c r="H5" s="10" t="str">
        <f>'REGISTRO COMPLETO (SÍLABO)'!H5</f>
        <v>F</v>
      </c>
      <c r="I5" s="45">
        <f t="shared" ref="I5:I24" si="1">IF(COUNTA(D5:H5)=0, 0, (COUNTIF(D5:H5,"A")+COUNTIF(D5:H5,"R"))/COUNTA(D5:H5))</f>
        <v>0.6</v>
      </c>
      <c r="J5" s="46" t="str">
        <f t="shared" ref="J5:J24" si="2">IF(COUNTA(D5:H5)=0, "SIN REGISTRO", IF(I5&gt;=0.8, "APTO", "INHABILITADO"))</f>
        <v>INHABILITADO</v>
      </c>
    </row>
    <row r="6" ht="18.0" customHeight="1">
      <c r="B6" s="10">
        <v>2.0</v>
      </c>
      <c r="C6" s="67" t="str">
        <f>'REGISTRO COMPLETO (SÍLABO)'!C6</f>
        <v>ESTHER ZULEYKA BAYONA PAREDES</v>
      </c>
      <c r="D6" s="10" t="str">
        <f>'REGISTRO COMPLETO (SÍLABO)'!D6</f>
        <v>A</v>
      </c>
      <c r="E6" s="10" t="str">
        <f>'REGISTRO COMPLETO (SÍLABO)'!E6</f>
        <v>A</v>
      </c>
      <c r="F6" s="10" t="str">
        <f>'REGISTRO COMPLETO (SÍLABO)'!F6</f>
        <v>A</v>
      </c>
      <c r="G6" s="10" t="str">
        <f>'REGISTRO COMPLETO (SÍLABO)'!G6</f>
        <v>F</v>
      </c>
      <c r="H6" s="10" t="str">
        <f>'REGISTRO COMPLETO (SÍLABO)'!H6</f>
        <v>A</v>
      </c>
      <c r="I6" s="45">
        <f t="shared" si="1"/>
        <v>0.8</v>
      </c>
      <c r="J6" s="46" t="str">
        <f t="shared" si="2"/>
        <v>APTO</v>
      </c>
    </row>
    <row r="7" ht="18.0" customHeight="1">
      <c r="B7" s="10">
        <v>3.0</v>
      </c>
      <c r="C7" s="67" t="str">
        <f>'REGISTRO COMPLETO (SÍLABO)'!C7</f>
        <v>RODOLFO VALENTINO BONILLA VALLEJOS</v>
      </c>
      <c r="D7" s="10" t="str">
        <f>'REGISTRO COMPLETO (SÍLABO)'!D7</f>
        <v>F</v>
      </c>
      <c r="E7" s="10" t="str">
        <f>'REGISTRO COMPLETO (SÍLABO)'!E7</f>
        <v>F</v>
      </c>
      <c r="F7" s="10" t="str">
        <f>'REGISTRO COMPLETO (SÍLABO)'!F7</f>
        <v>A</v>
      </c>
      <c r="G7" s="10" t="str">
        <f>'REGISTRO COMPLETO (SÍLABO)'!G7</f>
        <v>F</v>
      </c>
      <c r="H7" s="10" t="str">
        <f>'REGISTRO COMPLETO (SÍLABO)'!H7</f>
        <v>F</v>
      </c>
      <c r="I7" s="45">
        <f t="shared" si="1"/>
        <v>0.2</v>
      </c>
      <c r="J7" s="46" t="str">
        <f t="shared" si="2"/>
        <v>INHABILITADO</v>
      </c>
    </row>
    <row r="8" ht="18.0" customHeight="1">
      <c r="B8" s="10">
        <v>4.0</v>
      </c>
      <c r="C8" s="67" t="str">
        <f>'REGISTRO COMPLETO (SÍLABO)'!C8</f>
        <v>NATAN RAY CABRERA ACUÑA</v>
      </c>
      <c r="D8" s="10" t="str">
        <f>'REGISTRO COMPLETO (SÍLABO)'!D8</f>
        <v>F</v>
      </c>
      <c r="E8" s="10" t="str">
        <f>'REGISTRO COMPLETO (SÍLABO)'!E8</f>
        <v>F</v>
      </c>
      <c r="F8" s="10" t="str">
        <f>'REGISTRO COMPLETO (SÍLABO)'!F8</f>
        <v>F</v>
      </c>
      <c r="G8" s="10" t="str">
        <f>'REGISTRO COMPLETO (SÍLABO)'!G8</f>
        <v>F</v>
      </c>
      <c r="H8" s="10" t="str">
        <f>'REGISTRO COMPLETO (SÍLABO)'!H8</f>
        <v>F</v>
      </c>
      <c r="I8" s="45">
        <f t="shared" si="1"/>
        <v>0</v>
      </c>
      <c r="J8" s="46" t="str">
        <f t="shared" si="2"/>
        <v>INHABILITADO</v>
      </c>
    </row>
    <row r="9" ht="18.0" customHeight="1">
      <c r="B9" s="10">
        <v>5.0</v>
      </c>
      <c r="C9" s="67" t="str">
        <f>'REGISTRO COMPLETO (SÍLABO)'!C9</f>
        <v>JOSE FABRICIO CASTAÑEDA COTRINA</v>
      </c>
      <c r="D9" s="10" t="str">
        <f>'REGISTRO COMPLETO (SÍLABO)'!D9</f>
        <v>F</v>
      </c>
      <c r="E9" s="10" t="str">
        <f>'REGISTRO COMPLETO (SÍLABO)'!E9</f>
        <v>F</v>
      </c>
      <c r="F9" s="10" t="str">
        <f>'REGISTRO COMPLETO (SÍLABO)'!F9</f>
        <v>F</v>
      </c>
      <c r="G9" s="10" t="str">
        <f>'REGISTRO COMPLETO (SÍLABO)'!G9</f>
        <v>F</v>
      </c>
      <c r="H9" s="10" t="str">
        <f>'REGISTRO COMPLETO (SÍLABO)'!H9</f>
        <v>F</v>
      </c>
      <c r="I9" s="45">
        <f t="shared" si="1"/>
        <v>0</v>
      </c>
      <c r="J9" s="46" t="str">
        <f t="shared" si="2"/>
        <v>INHABILITADO</v>
      </c>
    </row>
    <row r="10" ht="18.0" customHeight="1">
      <c r="B10" s="10">
        <v>6.0</v>
      </c>
      <c r="C10" s="67" t="str">
        <f>'REGISTRO COMPLETO (SÍLABO)'!C10</f>
        <v>DAYHELI ANGELINE CASTILLO ARCELA</v>
      </c>
      <c r="D10" s="10" t="str">
        <f>'REGISTRO COMPLETO (SÍLABO)'!D10</f>
        <v>F</v>
      </c>
      <c r="E10" s="10" t="str">
        <f>'REGISTRO COMPLETO (SÍLABO)'!E10</f>
        <v>F</v>
      </c>
      <c r="F10" s="10" t="str">
        <f>'REGISTRO COMPLETO (SÍLABO)'!F10</f>
        <v>F</v>
      </c>
      <c r="G10" s="10" t="str">
        <f>'REGISTRO COMPLETO (SÍLABO)'!G10</f>
        <v>F</v>
      </c>
      <c r="H10" s="10" t="str">
        <f>'REGISTRO COMPLETO (SÍLABO)'!H10</f>
        <v>F</v>
      </c>
      <c r="I10" s="45">
        <f t="shared" si="1"/>
        <v>0</v>
      </c>
      <c r="J10" s="46" t="str">
        <f t="shared" si="2"/>
        <v>INHABILITADO</v>
      </c>
    </row>
    <row r="11" ht="18.0" customHeight="1">
      <c r="B11" s="10">
        <v>7.0</v>
      </c>
      <c r="C11" s="67" t="str">
        <f>'REGISTRO COMPLETO (SÍLABO)'!C11</f>
        <v>JUAN D'ALESSANDRO CUSTODIO CAMPOS</v>
      </c>
      <c r="D11" s="10" t="str">
        <f>'REGISTRO COMPLETO (SÍLABO)'!D11</f>
        <v>F</v>
      </c>
      <c r="E11" s="10" t="str">
        <f>'REGISTRO COMPLETO (SÍLABO)'!E11</f>
        <v>F</v>
      </c>
      <c r="F11" s="10" t="str">
        <f>'REGISTRO COMPLETO (SÍLABO)'!F11</f>
        <v>A</v>
      </c>
      <c r="G11" s="10" t="str">
        <f>'REGISTRO COMPLETO (SÍLABO)'!G11</f>
        <v>A</v>
      </c>
      <c r="H11" s="10" t="str">
        <f>'REGISTRO COMPLETO (SÍLABO)'!H11</f>
        <v>A</v>
      </c>
      <c r="I11" s="45">
        <f t="shared" si="1"/>
        <v>0.6</v>
      </c>
      <c r="J11" s="46" t="str">
        <f t="shared" si="2"/>
        <v>INHABILITADO</v>
      </c>
    </row>
    <row r="12" ht="18.0" customHeight="1">
      <c r="B12" s="10">
        <v>8.0</v>
      </c>
      <c r="C12" s="67" t="str">
        <f>'REGISTRO COMPLETO (SÍLABO)'!C12</f>
        <v>ANYILI PIERINA DIAZ CARRASCO</v>
      </c>
      <c r="D12" s="10" t="str">
        <f>'REGISTRO COMPLETO (SÍLABO)'!D12</f>
        <v>A</v>
      </c>
      <c r="E12" s="10" t="str">
        <f>'REGISTRO COMPLETO (SÍLABO)'!E12</f>
        <v>A</v>
      </c>
      <c r="F12" s="10" t="str">
        <f>'REGISTRO COMPLETO (SÍLABO)'!F12</f>
        <v>F</v>
      </c>
      <c r="G12" s="10" t="str">
        <f>'REGISTRO COMPLETO (SÍLABO)'!G12</f>
        <v>A</v>
      </c>
      <c r="H12" s="10" t="str">
        <f>'REGISTRO COMPLETO (SÍLABO)'!H12</f>
        <v>A</v>
      </c>
      <c r="I12" s="45">
        <f t="shared" si="1"/>
        <v>0.8</v>
      </c>
      <c r="J12" s="46" t="str">
        <f t="shared" si="2"/>
        <v>APTO</v>
      </c>
    </row>
    <row r="13" ht="18.0" customHeight="1">
      <c r="B13" s="10">
        <v>9.0</v>
      </c>
      <c r="C13" s="67" t="str">
        <f>'REGISTRO COMPLETO (SÍLABO)'!C13</f>
        <v>CESAR ENRIQUE FARROÑAN SANCHEZ</v>
      </c>
      <c r="D13" s="10" t="str">
        <f>'REGISTRO COMPLETO (SÍLABO)'!D13</f>
        <v>A</v>
      </c>
      <c r="E13" s="10" t="str">
        <f>'REGISTRO COMPLETO (SÍLABO)'!E13</f>
        <v>A</v>
      </c>
      <c r="F13" s="10" t="str">
        <f>'REGISTRO COMPLETO (SÍLABO)'!F13</f>
        <v>F</v>
      </c>
      <c r="G13" s="10" t="str">
        <f>'REGISTRO COMPLETO (SÍLABO)'!G13</f>
        <v>A</v>
      </c>
      <c r="H13" s="10" t="str">
        <f>'REGISTRO COMPLETO (SÍLABO)'!H13</f>
        <v>F</v>
      </c>
      <c r="I13" s="45">
        <f t="shared" si="1"/>
        <v>0.6</v>
      </c>
      <c r="J13" s="46" t="str">
        <f t="shared" si="2"/>
        <v>INHABILITADO</v>
      </c>
    </row>
    <row r="14" ht="18.0" customHeight="1">
      <c r="B14" s="10">
        <v>10.0</v>
      </c>
      <c r="C14" s="67" t="str">
        <f>'REGISTRO COMPLETO (SÍLABO)'!C14</f>
        <v>JOSUE ALBANO GALVEZ ODAR</v>
      </c>
      <c r="D14" s="10" t="str">
        <f>'REGISTRO COMPLETO (SÍLABO)'!D14</f>
        <v>F</v>
      </c>
      <c r="E14" s="10" t="str">
        <f>'REGISTRO COMPLETO (SÍLABO)'!E14</f>
        <v>R</v>
      </c>
      <c r="F14" s="10" t="str">
        <f>'REGISTRO COMPLETO (SÍLABO)'!F14</f>
        <v>A</v>
      </c>
      <c r="G14" s="10" t="str">
        <f>'REGISTRO COMPLETO (SÍLABO)'!G14</f>
        <v>R</v>
      </c>
      <c r="H14" s="10" t="str">
        <f>'REGISTRO COMPLETO (SÍLABO)'!H14</f>
        <v>F</v>
      </c>
      <c r="I14" s="45">
        <f t="shared" si="1"/>
        <v>0.6</v>
      </c>
      <c r="J14" s="46" t="str">
        <f t="shared" si="2"/>
        <v>INHABILITADO</v>
      </c>
    </row>
    <row r="15" ht="18.0" customHeight="1">
      <c r="B15" s="10">
        <v>11.0</v>
      </c>
      <c r="C15" s="67" t="str">
        <f>'REGISTRO COMPLETO (SÍLABO)'!C15</f>
        <v>HILDER YOSMAN LARA TINEO</v>
      </c>
      <c r="D15" s="10" t="str">
        <f>'REGISTRO COMPLETO (SÍLABO)'!D15</f>
        <v>F</v>
      </c>
      <c r="E15" s="10" t="str">
        <f>'REGISTRO COMPLETO (SÍLABO)'!E15</f>
        <v>R</v>
      </c>
      <c r="F15" s="10" t="str">
        <f>'REGISTRO COMPLETO (SÍLABO)'!F15</f>
        <v>A</v>
      </c>
      <c r="G15" s="10" t="str">
        <f>'REGISTRO COMPLETO (SÍLABO)'!G15</f>
        <v>R</v>
      </c>
      <c r="H15" s="10" t="str">
        <f>'REGISTRO COMPLETO (SÍLABO)'!H15</f>
        <v>A</v>
      </c>
      <c r="I15" s="45">
        <f t="shared" si="1"/>
        <v>0.8</v>
      </c>
      <c r="J15" s="46" t="str">
        <f t="shared" si="2"/>
        <v>APTO</v>
      </c>
    </row>
    <row r="16" ht="18.0" customHeight="1">
      <c r="B16" s="10">
        <v>12.0</v>
      </c>
      <c r="C16" s="67" t="str">
        <f>'REGISTRO COMPLETO (SÍLABO)'!C16</f>
        <v>JENIFFER KIMBERLY MANAYALLE DELGADO</v>
      </c>
      <c r="D16" s="10" t="str">
        <f>'REGISTRO COMPLETO (SÍLABO)'!D16</f>
        <v>A</v>
      </c>
      <c r="E16" s="10" t="str">
        <f>'REGISTRO COMPLETO (SÍLABO)'!E16</f>
        <v>R</v>
      </c>
      <c r="F16" s="10" t="str">
        <f>'REGISTRO COMPLETO (SÍLABO)'!F16</f>
        <v>F</v>
      </c>
      <c r="G16" s="10" t="str">
        <f>'REGISTRO COMPLETO (SÍLABO)'!G16</f>
        <v>A</v>
      </c>
      <c r="H16" s="10" t="str">
        <f>'REGISTRO COMPLETO (SÍLABO)'!H16</f>
        <v>A</v>
      </c>
      <c r="I16" s="45">
        <f t="shared" si="1"/>
        <v>0.8</v>
      </c>
      <c r="J16" s="46" t="str">
        <f t="shared" si="2"/>
        <v>APTO</v>
      </c>
    </row>
    <row r="17" ht="18.0" customHeight="1">
      <c r="B17" s="10">
        <v>13.0</v>
      </c>
      <c r="C17" s="67" t="str">
        <f>'REGISTRO COMPLETO (SÍLABO)'!C17</f>
        <v>JELBER MAYKOL RODRIGUEZ ALDAZ</v>
      </c>
      <c r="D17" s="10" t="str">
        <f>'REGISTRO COMPLETO (SÍLABO)'!D17</f>
        <v>A</v>
      </c>
      <c r="E17" s="10" t="str">
        <f>'REGISTRO COMPLETO (SÍLABO)'!E17</f>
        <v>F</v>
      </c>
      <c r="F17" s="10" t="str">
        <f>'REGISTRO COMPLETO (SÍLABO)'!F17</f>
        <v>A</v>
      </c>
      <c r="G17" s="10" t="str">
        <f>'REGISTRO COMPLETO (SÍLABO)'!G17</f>
        <v>F</v>
      </c>
      <c r="H17" s="10" t="str">
        <f>'REGISTRO COMPLETO (SÍLABO)'!H17</f>
        <v>A</v>
      </c>
      <c r="I17" s="45">
        <f t="shared" si="1"/>
        <v>0.6</v>
      </c>
      <c r="J17" s="46" t="str">
        <f t="shared" si="2"/>
        <v>INHABILITADO</v>
      </c>
    </row>
    <row r="18" ht="18.0" customHeight="1">
      <c r="B18" s="10">
        <v>14.0</v>
      </c>
      <c r="C18" s="67" t="str">
        <f>'REGISTRO COMPLETO (SÍLABO)'!C18</f>
        <v>GRECIA CATHERINE SAMILLAN ALTAMIRANO</v>
      </c>
      <c r="D18" s="10" t="str">
        <f>'REGISTRO COMPLETO (SÍLABO)'!D18</f>
        <v>R</v>
      </c>
      <c r="E18" s="10" t="str">
        <f>'REGISTRO COMPLETO (SÍLABO)'!E18</f>
        <v>R</v>
      </c>
      <c r="F18" s="10" t="str">
        <f>'REGISTRO COMPLETO (SÍLABO)'!F18</f>
        <v>A</v>
      </c>
      <c r="G18" s="10" t="str">
        <f>'REGISTRO COMPLETO (SÍLABO)'!G18</f>
        <v>F</v>
      </c>
      <c r="H18" s="10" t="str">
        <f>'REGISTRO COMPLETO (SÍLABO)'!H18</f>
        <v>F</v>
      </c>
      <c r="I18" s="45">
        <f t="shared" si="1"/>
        <v>0.6</v>
      </c>
      <c r="J18" s="46" t="str">
        <f t="shared" si="2"/>
        <v>INHABILITADO</v>
      </c>
    </row>
    <row r="19" ht="18.0" customHeight="1">
      <c r="B19" s="10">
        <v>15.0</v>
      </c>
      <c r="C19" s="67" t="str">
        <f>'REGISTRO COMPLETO (SÍLABO)'!C19</f>
        <v>SELENA MARICIELO TORO BOCANEGRA</v>
      </c>
      <c r="D19" s="10" t="str">
        <f>'REGISTRO COMPLETO (SÍLABO)'!D19</f>
        <v>A</v>
      </c>
      <c r="E19" s="10" t="str">
        <f>'REGISTRO COMPLETO (SÍLABO)'!E19</f>
        <v>A</v>
      </c>
      <c r="F19" s="10" t="str">
        <f>'REGISTRO COMPLETO (SÍLABO)'!F19</f>
        <v>A</v>
      </c>
      <c r="G19" s="10" t="str">
        <f>'REGISTRO COMPLETO (SÍLABO)'!G19</f>
        <v>F</v>
      </c>
      <c r="H19" s="10" t="str">
        <f>'REGISTRO COMPLETO (SÍLABO)'!H19</f>
        <v>A</v>
      </c>
      <c r="I19" s="45">
        <f t="shared" si="1"/>
        <v>0.8</v>
      </c>
      <c r="J19" s="46" t="str">
        <f t="shared" si="2"/>
        <v>APTO</v>
      </c>
    </row>
    <row r="20" ht="18.0" customHeight="1">
      <c r="B20" s="10">
        <v>16.0</v>
      </c>
      <c r="C20" s="67" t="str">
        <f>'REGISTRO COMPLETO (SÍLABO)'!C20</f>
        <v>DANIEL ANTONIO VIDARTE VIDARTE</v>
      </c>
      <c r="D20" s="10" t="str">
        <f>'REGISTRO COMPLETO (SÍLABO)'!D20</f>
        <v>A</v>
      </c>
      <c r="E20" s="10" t="str">
        <f>'REGISTRO COMPLETO (SÍLABO)'!E20</f>
        <v>A</v>
      </c>
      <c r="F20" s="10" t="str">
        <f>'REGISTRO COMPLETO (SÍLABO)'!F20</f>
        <v>F</v>
      </c>
      <c r="G20" s="10" t="str">
        <f>'REGISTRO COMPLETO (SÍLABO)'!G20</f>
        <v>A</v>
      </c>
      <c r="H20" s="10" t="str">
        <f>'REGISTRO COMPLETO (SÍLABO)'!H20</f>
        <v>A</v>
      </c>
      <c r="I20" s="45">
        <f t="shared" si="1"/>
        <v>0.8</v>
      </c>
      <c r="J20" s="46" t="str">
        <f t="shared" si="2"/>
        <v>APTO</v>
      </c>
    </row>
    <row r="21" ht="18.0" customHeight="1">
      <c r="B21" s="10">
        <v>17.0</v>
      </c>
      <c r="C21" s="67" t="str">
        <f>'REGISTRO COMPLETO (SÍLABO)'!C21</f>
        <v/>
      </c>
      <c r="D21" s="10" t="str">
        <f>'REGISTRO COMPLETO (SÍLABO)'!D21</f>
        <v/>
      </c>
      <c r="E21" s="10" t="str">
        <f>'REGISTRO COMPLETO (SÍLABO)'!E21</f>
        <v/>
      </c>
      <c r="F21" s="10" t="str">
        <f>'REGISTRO COMPLETO (SÍLABO)'!F21</f>
        <v/>
      </c>
      <c r="G21" s="10" t="str">
        <f>'REGISTRO COMPLETO (SÍLABO)'!G21</f>
        <v/>
      </c>
      <c r="H21" s="10" t="str">
        <f>'REGISTRO COMPLETO (SÍLABO)'!H21</f>
        <v/>
      </c>
      <c r="I21" s="45">
        <f t="shared" si="1"/>
        <v>0</v>
      </c>
      <c r="J21" s="46" t="str">
        <f t="shared" si="2"/>
        <v>SIN REGISTRO</v>
      </c>
    </row>
    <row r="22" ht="18.0" customHeight="1">
      <c r="B22" s="10">
        <v>18.0</v>
      </c>
      <c r="C22" s="67" t="str">
        <f>'REGISTRO COMPLETO (SÍLABO)'!C22</f>
        <v/>
      </c>
      <c r="D22" s="10" t="str">
        <f>'REGISTRO COMPLETO (SÍLABO)'!D22</f>
        <v/>
      </c>
      <c r="E22" s="10" t="str">
        <f>'REGISTRO COMPLETO (SÍLABO)'!E22</f>
        <v/>
      </c>
      <c r="F22" s="10" t="str">
        <f>'REGISTRO COMPLETO (SÍLABO)'!F22</f>
        <v/>
      </c>
      <c r="G22" s="10" t="str">
        <f>'REGISTRO COMPLETO (SÍLABO)'!G22</f>
        <v/>
      </c>
      <c r="H22" s="10" t="str">
        <f>'REGISTRO COMPLETO (SÍLABO)'!H22</f>
        <v/>
      </c>
      <c r="I22" s="45">
        <f t="shared" si="1"/>
        <v>0</v>
      </c>
      <c r="J22" s="46" t="str">
        <f t="shared" si="2"/>
        <v>SIN REGISTRO</v>
      </c>
    </row>
    <row r="23" ht="18.0" customHeight="1">
      <c r="B23" s="10">
        <v>19.0</v>
      </c>
      <c r="C23" s="67" t="str">
        <f>'REGISTRO COMPLETO (SÍLABO)'!C23</f>
        <v/>
      </c>
      <c r="D23" s="10" t="str">
        <f>'REGISTRO COMPLETO (SÍLABO)'!D23</f>
        <v/>
      </c>
      <c r="E23" s="10" t="str">
        <f>'REGISTRO COMPLETO (SÍLABO)'!E23</f>
        <v/>
      </c>
      <c r="F23" s="10" t="str">
        <f>'REGISTRO COMPLETO (SÍLABO)'!F23</f>
        <v/>
      </c>
      <c r="G23" s="10" t="str">
        <f>'REGISTRO COMPLETO (SÍLABO)'!G23</f>
        <v/>
      </c>
      <c r="H23" s="10" t="str">
        <f>'REGISTRO COMPLETO (SÍLABO)'!H23</f>
        <v/>
      </c>
      <c r="I23" s="45">
        <f t="shared" si="1"/>
        <v>0</v>
      </c>
      <c r="J23" s="46" t="str">
        <f t="shared" si="2"/>
        <v>SIN REGISTRO</v>
      </c>
    </row>
    <row r="24" ht="18.0" customHeight="1">
      <c r="B24" s="10">
        <v>20.0</v>
      </c>
      <c r="C24" s="67" t="str">
        <f>'REGISTRO COMPLETO (SÍLABO)'!C24</f>
        <v/>
      </c>
      <c r="D24" s="10" t="str">
        <f>'REGISTRO COMPLETO (SÍLABO)'!D24</f>
        <v/>
      </c>
      <c r="E24" s="10" t="str">
        <f>'REGISTRO COMPLETO (SÍLABO)'!E24</f>
        <v/>
      </c>
      <c r="F24" s="10" t="str">
        <f>'REGISTRO COMPLETO (SÍLABO)'!F24</f>
        <v/>
      </c>
      <c r="G24" s="10" t="str">
        <f>'REGISTRO COMPLETO (SÍLABO)'!G24</f>
        <v/>
      </c>
      <c r="H24" s="10" t="str">
        <f>'REGISTRO COMPLETO (SÍLABO)'!H24</f>
        <v/>
      </c>
      <c r="I24" s="45">
        <f t="shared" si="1"/>
        <v>0</v>
      </c>
      <c r="J24" s="46" t="str">
        <f t="shared" si="2"/>
        <v>SIN REGISTRO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">
    <mergeCell ref="B1:C2"/>
    <mergeCell ref="D1:J1"/>
    <mergeCell ref="D2:J2"/>
    <mergeCell ref="B3:C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4.86"/>
    <col customWidth="1" min="3" max="3" width="36.0"/>
    <col customWidth="1" min="4" max="12" width="7.43"/>
    <col customWidth="1" min="13" max="13" width="10.0"/>
    <col customWidth="1" min="14" max="14" width="13.0"/>
    <col customWidth="1" min="15" max="26" width="8.71"/>
  </cols>
  <sheetData>
    <row r="1" ht="25.5" customHeight="1">
      <c r="B1" s="62" t="s">
        <v>170</v>
      </c>
      <c r="C1" s="25"/>
      <c r="D1" s="26" t="s">
        <v>171</v>
      </c>
      <c r="E1" s="5"/>
      <c r="F1" s="5"/>
      <c r="G1" s="5"/>
      <c r="H1" s="5"/>
      <c r="I1" s="5"/>
      <c r="J1" s="5"/>
      <c r="K1" s="5"/>
      <c r="L1" s="5"/>
      <c r="M1" s="5"/>
      <c r="N1" s="6"/>
    </row>
    <row r="2" ht="25.5" customHeight="1">
      <c r="B2" s="28"/>
      <c r="C2" s="29"/>
      <c r="D2" s="27" t="s">
        <v>172</v>
      </c>
      <c r="E2" s="5"/>
      <c r="F2" s="5"/>
      <c r="G2" s="5"/>
      <c r="H2" s="5"/>
      <c r="I2" s="5"/>
      <c r="J2" s="5"/>
      <c r="K2" s="5"/>
      <c r="L2" s="5"/>
      <c r="M2" s="5"/>
      <c r="N2" s="6"/>
    </row>
    <row r="3" ht="21.75" customHeight="1">
      <c r="B3" s="26" t="s">
        <v>173</v>
      </c>
      <c r="C3" s="6"/>
      <c r="D3" s="64" t="s">
        <v>44</v>
      </c>
      <c r="E3" s="64" t="s">
        <v>37</v>
      </c>
      <c r="F3" s="64" t="s">
        <v>44</v>
      </c>
      <c r="G3" s="64" t="s">
        <v>37</v>
      </c>
      <c r="H3" s="64" t="s">
        <v>44</v>
      </c>
      <c r="I3" s="64" t="s">
        <v>37</v>
      </c>
      <c r="J3" s="64" t="s">
        <v>44</v>
      </c>
      <c r="K3" s="64" t="s">
        <v>37</v>
      </c>
      <c r="L3" s="64" t="s">
        <v>44</v>
      </c>
      <c r="M3" s="15" t="s">
        <v>121</v>
      </c>
      <c r="N3" s="15" t="s">
        <v>122</v>
      </c>
    </row>
    <row r="4" ht="19.5" customHeight="1">
      <c r="B4" s="35" t="s">
        <v>103</v>
      </c>
      <c r="C4" s="35" t="s">
        <v>104</v>
      </c>
      <c r="D4" s="40" t="s">
        <v>110</v>
      </c>
      <c r="E4" s="68" t="s">
        <v>61</v>
      </c>
      <c r="F4" s="68" t="s">
        <v>64</v>
      </c>
      <c r="G4" s="68" t="s">
        <v>67</v>
      </c>
      <c r="H4" s="68" t="s">
        <v>70</v>
      </c>
      <c r="I4" s="68" t="s">
        <v>73</v>
      </c>
      <c r="J4" s="40" t="s">
        <v>116</v>
      </c>
      <c r="K4" s="68" t="s">
        <v>79</v>
      </c>
      <c r="L4" s="68" t="s">
        <v>82</v>
      </c>
      <c r="M4" s="66" t="s">
        <v>168</v>
      </c>
      <c r="N4" s="66" t="s">
        <v>169</v>
      </c>
    </row>
    <row r="5" ht="18.0" customHeight="1">
      <c r="B5" s="10">
        <v>1.0</v>
      </c>
      <c r="C5" s="67" t="str">
        <f>'REGISTRO COMPLETO (SÍLABO)'!C5</f>
        <v>NURIED ARLET ATOCHE ORELLANA</v>
      </c>
      <c r="D5" s="10" t="str">
        <f>'REGISTRO COMPLETO (SÍLABO)'!I5</f>
        <v/>
      </c>
      <c r="E5" s="10" t="str">
        <f>'REGISTRO COMPLETO (SÍLABO)'!J5</f>
        <v/>
      </c>
      <c r="F5" s="10" t="str">
        <f>'REGISTRO COMPLETO (SÍLABO)'!K5</f>
        <v/>
      </c>
      <c r="G5" s="10" t="str">
        <f>'REGISTRO COMPLETO (SÍLABO)'!L5</f>
        <v/>
      </c>
      <c r="H5" s="10" t="str">
        <f>'REGISTRO COMPLETO (SÍLABO)'!M5</f>
        <v/>
      </c>
      <c r="I5" s="10" t="str">
        <f>'REGISTRO COMPLETO (SÍLABO)'!N5</f>
        <v/>
      </c>
      <c r="J5" s="10" t="str">
        <f>'REGISTRO COMPLETO (SÍLABO)'!O5</f>
        <v/>
      </c>
      <c r="K5" s="10" t="str">
        <f>'REGISTRO COMPLETO (SÍLABO)'!P5</f>
        <v/>
      </c>
      <c r="L5" s="10" t="str">
        <f>'REGISTRO COMPLETO (SÍLABO)'!Q5</f>
        <v/>
      </c>
      <c r="M5" s="45">
        <f t="shared" ref="M5:M24" si="1">IF(COUNTA(D5:L5)=0, 0, (COUNTIF(D5:L5,"A")+COUNTIF(D5:L5,"R"))/COUNTA(D5:L5))</f>
        <v>0</v>
      </c>
      <c r="N5" s="46" t="str">
        <f t="shared" ref="N5:N24" si="2">IF(COUNTA(D5:L5)=0, "SIN REGISTRO", IF(M5&gt;=0.8, "APTO", "INHABILITADO"))</f>
        <v>SIN REGISTRO</v>
      </c>
    </row>
    <row r="6" ht="18.0" customHeight="1">
      <c r="B6" s="10">
        <v>2.0</v>
      </c>
      <c r="C6" s="67" t="str">
        <f>'REGISTRO COMPLETO (SÍLABO)'!C6</f>
        <v>ESTHER ZULEYKA BAYONA PAREDES</v>
      </c>
      <c r="D6" s="10" t="str">
        <f>'REGISTRO COMPLETO (SÍLABO)'!I6</f>
        <v/>
      </c>
      <c r="E6" s="10" t="str">
        <f>'REGISTRO COMPLETO (SÍLABO)'!J6</f>
        <v/>
      </c>
      <c r="F6" s="10" t="str">
        <f>'REGISTRO COMPLETO (SÍLABO)'!K6</f>
        <v/>
      </c>
      <c r="G6" s="10" t="str">
        <f>'REGISTRO COMPLETO (SÍLABO)'!L6</f>
        <v/>
      </c>
      <c r="H6" s="10" t="str">
        <f>'REGISTRO COMPLETO (SÍLABO)'!M6</f>
        <v/>
      </c>
      <c r="I6" s="10" t="str">
        <f>'REGISTRO COMPLETO (SÍLABO)'!N6</f>
        <v/>
      </c>
      <c r="J6" s="10" t="str">
        <f>'REGISTRO COMPLETO (SÍLABO)'!O6</f>
        <v/>
      </c>
      <c r="K6" s="10" t="str">
        <f>'REGISTRO COMPLETO (SÍLABO)'!P6</f>
        <v/>
      </c>
      <c r="L6" s="10" t="str">
        <f>'REGISTRO COMPLETO (SÍLABO)'!Q6</f>
        <v/>
      </c>
      <c r="M6" s="45">
        <f t="shared" si="1"/>
        <v>0</v>
      </c>
      <c r="N6" s="46" t="str">
        <f t="shared" si="2"/>
        <v>SIN REGISTRO</v>
      </c>
    </row>
    <row r="7" ht="18.0" customHeight="1">
      <c r="B7" s="10">
        <v>3.0</v>
      </c>
      <c r="C7" s="67" t="str">
        <f>'REGISTRO COMPLETO (SÍLABO)'!C7</f>
        <v>RODOLFO VALENTINO BONILLA VALLEJOS</v>
      </c>
      <c r="D7" s="10" t="str">
        <f>'REGISTRO COMPLETO (SÍLABO)'!I7</f>
        <v/>
      </c>
      <c r="E7" s="10" t="str">
        <f>'REGISTRO COMPLETO (SÍLABO)'!J7</f>
        <v/>
      </c>
      <c r="F7" s="10" t="str">
        <f>'REGISTRO COMPLETO (SÍLABO)'!K7</f>
        <v/>
      </c>
      <c r="G7" s="10" t="str">
        <f>'REGISTRO COMPLETO (SÍLABO)'!L7</f>
        <v/>
      </c>
      <c r="H7" s="10" t="str">
        <f>'REGISTRO COMPLETO (SÍLABO)'!M7</f>
        <v/>
      </c>
      <c r="I7" s="10" t="str">
        <f>'REGISTRO COMPLETO (SÍLABO)'!N7</f>
        <v/>
      </c>
      <c r="J7" s="10" t="str">
        <f>'REGISTRO COMPLETO (SÍLABO)'!O7</f>
        <v/>
      </c>
      <c r="K7" s="10" t="str">
        <f>'REGISTRO COMPLETO (SÍLABO)'!P7</f>
        <v/>
      </c>
      <c r="L7" s="10" t="str">
        <f>'REGISTRO COMPLETO (SÍLABO)'!Q7</f>
        <v/>
      </c>
      <c r="M7" s="45">
        <f t="shared" si="1"/>
        <v>0</v>
      </c>
      <c r="N7" s="46" t="str">
        <f t="shared" si="2"/>
        <v>SIN REGISTRO</v>
      </c>
    </row>
    <row r="8" ht="18.0" customHeight="1">
      <c r="B8" s="10">
        <v>4.0</v>
      </c>
      <c r="C8" s="67" t="str">
        <f>'REGISTRO COMPLETO (SÍLABO)'!C8</f>
        <v>NATAN RAY CABRERA ACUÑA</v>
      </c>
      <c r="D8" s="10" t="str">
        <f>'REGISTRO COMPLETO (SÍLABO)'!I8</f>
        <v/>
      </c>
      <c r="E8" s="10" t="str">
        <f>'REGISTRO COMPLETO (SÍLABO)'!J8</f>
        <v/>
      </c>
      <c r="F8" s="10" t="str">
        <f>'REGISTRO COMPLETO (SÍLABO)'!K8</f>
        <v/>
      </c>
      <c r="G8" s="10" t="str">
        <f>'REGISTRO COMPLETO (SÍLABO)'!L8</f>
        <v/>
      </c>
      <c r="H8" s="10" t="str">
        <f>'REGISTRO COMPLETO (SÍLABO)'!M8</f>
        <v/>
      </c>
      <c r="I8" s="10" t="str">
        <f>'REGISTRO COMPLETO (SÍLABO)'!N8</f>
        <v/>
      </c>
      <c r="J8" s="10" t="str">
        <f>'REGISTRO COMPLETO (SÍLABO)'!O8</f>
        <v/>
      </c>
      <c r="K8" s="10" t="str">
        <f>'REGISTRO COMPLETO (SÍLABO)'!P8</f>
        <v/>
      </c>
      <c r="L8" s="10" t="str">
        <f>'REGISTRO COMPLETO (SÍLABO)'!Q8</f>
        <v/>
      </c>
      <c r="M8" s="45">
        <f t="shared" si="1"/>
        <v>0</v>
      </c>
      <c r="N8" s="46" t="str">
        <f t="shared" si="2"/>
        <v>SIN REGISTRO</v>
      </c>
    </row>
    <row r="9" ht="18.0" customHeight="1">
      <c r="B9" s="10">
        <v>5.0</v>
      </c>
      <c r="C9" s="67" t="str">
        <f>'REGISTRO COMPLETO (SÍLABO)'!C9</f>
        <v>JOSE FABRICIO CASTAÑEDA COTRINA</v>
      </c>
      <c r="D9" s="10" t="str">
        <f>'REGISTRO COMPLETO (SÍLABO)'!I9</f>
        <v/>
      </c>
      <c r="E9" s="10" t="str">
        <f>'REGISTRO COMPLETO (SÍLABO)'!J9</f>
        <v/>
      </c>
      <c r="F9" s="10" t="str">
        <f>'REGISTRO COMPLETO (SÍLABO)'!K9</f>
        <v/>
      </c>
      <c r="G9" s="10" t="str">
        <f>'REGISTRO COMPLETO (SÍLABO)'!L9</f>
        <v/>
      </c>
      <c r="H9" s="10" t="str">
        <f>'REGISTRO COMPLETO (SÍLABO)'!M9</f>
        <v/>
      </c>
      <c r="I9" s="10" t="str">
        <f>'REGISTRO COMPLETO (SÍLABO)'!N9</f>
        <v/>
      </c>
      <c r="J9" s="10" t="str">
        <f>'REGISTRO COMPLETO (SÍLABO)'!O9</f>
        <v/>
      </c>
      <c r="K9" s="10" t="str">
        <f>'REGISTRO COMPLETO (SÍLABO)'!P9</f>
        <v/>
      </c>
      <c r="L9" s="10" t="str">
        <f>'REGISTRO COMPLETO (SÍLABO)'!Q9</f>
        <v/>
      </c>
      <c r="M9" s="45">
        <f t="shared" si="1"/>
        <v>0</v>
      </c>
      <c r="N9" s="46" t="str">
        <f t="shared" si="2"/>
        <v>SIN REGISTRO</v>
      </c>
    </row>
    <row r="10" ht="18.0" customHeight="1">
      <c r="B10" s="10">
        <v>6.0</v>
      </c>
      <c r="C10" s="67" t="str">
        <f>'REGISTRO COMPLETO (SÍLABO)'!C10</f>
        <v>DAYHELI ANGELINE CASTILLO ARCELA</v>
      </c>
      <c r="D10" s="10" t="str">
        <f>'REGISTRO COMPLETO (SÍLABO)'!I10</f>
        <v/>
      </c>
      <c r="E10" s="10" t="str">
        <f>'REGISTRO COMPLETO (SÍLABO)'!J10</f>
        <v/>
      </c>
      <c r="F10" s="10" t="str">
        <f>'REGISTRO COMPLETO (SÍLABO)'!K10</f>
        <v/>
      </c>
      <c r="G10" s="10" t="str">
        <f>'REGISTRO COMPLETO (SÍLABO)'!L10</f>
        <v/>
      </c>
      <c r="H10" s="10" t="str">
        <f>'REGISTRO COMPLETO (SÍLABO)'!M10</f>
        <v/>
      </c>
      <c r="I10" s="10" t="str">
        <f>'REGISTRO COMPLETO (SÍLABO)'!N10</f>
        <v/>
      </c>
      <c r="J10" s="10" t="str">
        <f>'REGISTRO COMPLETO (SÍLABO)'!O10</f>
        <v/>
      </c>
      <c r="K10" s="10" t="str">
        <f>'REGISTRO COMPLETO (SÍLABO)'!P10</f>
        <v/>
      </c>
      <c r="L10" s="10" t="str">
        <f>'REGISTRO COMPLETO (SÍLABO)'!Q10</f>
        <v/>
      </c>
      <c r="M10" s="45">
        <f t="shared" si="1"/>
        <v>0</v>
      </c>
      <c r="N10" s="46" t="str">
        <f t="shared" si="2"/>
        <v>SIN REGISTRO</v>
      </c>
    </row>
    <row r="11" ht="18.0" customHeight="1">
      <c r="B11" s="10">
        <v>7.0</v>
      </c>
      <c r="C11" s="67" t="str">
        <f>'REGISTRO COMPLETO (SÍLABO)'!C11</f>
        <v>JUAN D'ALESSANDRO CUSTODIO CAMPOS</v>
      </c>
      <c r="D11" s="10" t="str">
        <f>'REGISTRO COMPLETO (SÍLABO)'!I11</f>
        <v/>
      </c>
      <c r="E11" s="10" t="str">
        <f>'REGISTRO COMPLETO (SÍLABO)'!J11</f>
        <v/>
      </c>
      <c r="F11" s="10" t="str">
        <f>'REGISTRO COMPLETO (SÍLABO)'!K11</f>
        <v/>
      </c>
      <c r="G11" s="10" t="str">
        <f>'REGISTRO COMPLETO (SÍLABO)'!L11</f>
        <v/>
      </c>
      <c r="H11" s="10" t="str">
        <f>'REGISTRO COMPLETO (SÍLABO)'!M11</f>
        <v/>
      </c>
      <c r="I11" s="10" t="str">
        <f>'REGISTRO COMPLETO (SÍLABO)'!N11</f>
        <v/>
      </c>
      <c r="J11" s="10" t="str">
        <f>'REGISTRO COMPLETO (SÍLABO)'!O11</f>
        <v/>
      </c>
      <c r="K11" s="10" t="str">
        <f>'REGISTRO COMPLETO (SÍLABO)'!P11</f>
        <v/>
      </c>
      <c r="L11" s="10" t="str">
        <f>'REGISTRO COMPLETO (SÍLABO)'!Q11</f>
        <v/>
      </c>
      <c r="M11" s="45">
        <f t="shared" si="1"/>
        <v>0</v>
      </c>
      <c r="N11" s="46" t="str">
        <f t="shared" si="2"/>
        <v>SIN REGISTRO</v>
      </c>
    </row>
    <row r="12" ht="18.0" customHeight="1">
      <c r="B12" s="10">
        <v>8.0</v>
      </c>
      <c r="C12" s="67" t="str">
        <f>'REGISTRO COMPLETO (SÍLABO)'!C12</f>
        <v>ANYILI PIERINA DIAZ CARRASCO</v>
      </c>
      <c r="D12" s="10" t="str">
        <f>'REGISTRO COMPLETO (SÍLABO)'!I12</f>
        <v/>
      </c>
      <c r="E12" s="10" t="str">
        <f>'REGISTRO COMPLETO (SÍLABO)'!J12</f>
        <v/>
      </c>
      <c r="F12" s="10" t="str">
        <f>'REGISTRO COMPLETO (SÍLABO)'!K12</f>
        <v/>
      </c>
      <c r="G12" s="10" t="str">
        <f>'REGISTRO COMPLETO (SÍLABO)'!L12</f>
        <v/>
      </c>
      <c r="H12" s="10" t="str">
        <f>'REGISTRO COMPLETO (SÍLABO)'!M12</f>
        <v/>
      </c>
      <c r="I12" s="10" t="str">
        <f>'REGISTRO COMPLETO (SÍLABO)'!N12</f>
        <v/>
      </c>
      <c r="J12" s="10" t="str">
        <f>'REGISTRO COMPLETO (SÍLABO)'!O12</f>
        <v/>
      </c>
      <c r="K12" s="10" t="str">
        <f>'REGISTRO COMPLETO (SÍLABO)'!P12</f>
        <v/>
      </c>
      <c r="L12" s="10" t="str">
        <f>'REGISTRO COMPLETO (SÍLABO)'!Q12</f>
        <v/>
      </c>
      <c r="M12" s="45">
        <f t="shared" si="1"/>
        <v>0</v>
      </c>
      <c r="N12" s="46" t="str">
        <f t="shared" si="2"/>
        <v>SIN REGISTRO</v>
      </c>
    </row>
    <row r="13" ht="18.0" customHeight="1">
      <c r="B13" s="10">
        <v>9.0</v>
      </c>
      <c r="C13" s="67" t="str">
        <f>'REGISTRO COMPLETO (SÍLABO)'!C13</f>
        <v>CESAR ENRIQUE FARROÑAN SANCHEZ</v>
      </c>
      <c r="D13" s="10" t="str">
        <f>'REGISTRO COMPLETO (SÍLABO)'!I13</f>
        <v/>
      </c>
      <c r="E13" s="10" t="str">
        <f>'REGISTRO COMPLETO (SÍLABO)'!J13</f>
        <v/>
      </c>
      <c r="F13" s="10" t="str">
        <f>'REGISTRO COMPLETO (SÍLABO)'!K13</f>
        <v/>
      </c>
      <c r="G13" s="10" t="str">
        <f>'REGISTRO COMPLETO (SÍLABO)'!L13</f>
        <v/>
      </c>
      <c r="H13" s="10" t="str">
        <f>'REGISTRO COMPLETO (SÍLABO)'!M13</f>
        <v/>
      </c>
      <c r="I13" s="10" t="str">
        <f>'REGISTRO COMPLETO (SÍLABO)'!N13</f>
        <v/>
      </c>
      <c r="J13" s="10" t="str">
        <f>'REGISTRO COMPLETO (SÍLABO)'!O13</f>
        <v/>
      </c>
      <c r="K13" s="10" t="str">
        <f>'REGISTRO COMPLETO (SÍLABO)'!P13</f>
        <v/>
      </c>
      <c r="L13" s="10" t="str">
        <f>'REGISTRO COMPLETO (SÍLABO)'!Q13</f>
        <v/>
      </c>
      <c r="M13" s="45">
        <f t="shared" si="1"/>
        <v>0</v>
      </c>
      <c r="N13" s="46" t="str">
        <f t="shared" si="2"/>
        <v>SIN REGISTRO</v>
      </c>
    </row>
    <row r="14" ht="18.0" customHeight="1">
      <c r="B14" s="10">
        <v>10.0</v>
      </c>
      <c r="C14" s="67" t="str">
        <f>'REGISTRO COMPLETO (SÍLABO)'!C14</f>
        <v>JOSUE ALBANO GALVEZ ODAR</v>
      </c>
      <c r="D14" s="10" t="str">
        <f>'REGISTRO COMPLETO (SÍLABO)'!I14</f>
        <v/>
      </c>
      <c r="E14" s="10" t="str">
        <f>'REGISTRO COMPLETO (SÍLABO)'!J14</f>
        <v/>
      </c>
      <c r="F14" s="10" t="str">
        <f>'REGISTRO COMPLETO (SÍLABO)'!K14</f>
        <v/>
      </c>
      <c r="G14" s="10" t="str">
        <f>'REGISTRO COMPLETO (SÍLABO)'!L14</f>
        <v/>
      </c>
      <c r="H14" s="10" t="str">
        <f>'REGISTRO COMPLETO (SÍLABO)'!M14</f>
        <v/>
      </c>
      <c r="I14" s="10" t="str">
        <f>'REGISTRO COMPLETO (SÍLABO)'!N14</f>
        <v/>
      </c>
      <c r="J14" s="10" t="str">
        <f>'REGISTRO COMPLETO (SÍLABO)'!O14</f>
        <v/>
      </c>
      <c r="K14" s="10" t="str">
        <f>'REGISTRO COMPLETO (SÍLABO)'!P14</f>
        <v/>
      </c>
      <c r="L14" s="10" t="str">
        <f>'REGISTRO COMPLETO (SÍLABO)'!Q14</f>
        <v/>
      </c>
      <c r="M14" s="45">
        <f t="shared" si="1"/>
        <v>0</v>
      </c>
      <c r="N14" s="46" t="str">
        <f t="shared" si="2"/>
        <v>SIN REGISTRO</v>
      </c>
    </row>
    <row r="15" ht="18.0" customHeight="1">
      <c r="B15" s="10">
        <v>11.0</v>
      </c>
      <c r="C15" s="67" t="str">
        <f>'REGISTRO COMPLETO (SÍLABO)'!C15</f>
        <v>HILDER YOSMAN LARA TINEO</v>
      </c>
      <c r="D15" s="10" t="str">
        <f>'REGISTRO COMPLETO (SÍLABO)'!I15</f>
        <v/>
      </c>
      <c r="E15" s="10" t="str">
        <f>'REGISTRO COMPLETO (SÍLABO)'!J15</f>
        <v/>
      </c>
      <c r="F15" s="10" t="str">
        <f>'REGISTRO COMPLETO (SÍLABO)'!K15</f>
        <v/>
      </c>
      <c r="G15" s="10" t="str">
        <f>'REGISTRO COMPLETO (SÍLABO)'!L15</f>
        <v/>
      </c>
      <c r="H15" s="10" t="str">
        <f>'REGISTRO COMPLETO (SÍLABO)'!M15</f>
        <v/>
      </c>
      <c r="I15" s="10" t="str">
        <f>'REGISTRO COMPLETO (SÍLABO)'!N15</f>
        <v/>
      </c>
      <c r="J15" s="10" t="str">
        <f>'REGISTRO COMPLETO (SÍLABO)'!O15</f>
        <v/>
      </c>
      <c r="K15" s="10" t="str">
        <f>'REGISTRO COMPLETO (SÍLABO)'!P15</f>
        <v/>
      </c>
      <c r="L15" s="10" t="str">
        <f>'REGISTRO COMPLETO (SÍLABO)'!Q15</f>
        <v/>
      </c>
      <c r="M15" s="45">
        <f t="shared" si="1"/>
        <v>0</v>
      </c>
      <c r="N15" s="46" t="str">
        <f t="shared" si="2"/>
        <v>SIN REGISTRO</v>
      </c>
    </row>
    <row r="16" ht="18.0" customHeight="1">
      <c r="B16" s="10">
        <v>12.0</v>
      </c>
      <c r="C16" s="67" t="str">
        <f>'REGISTRO COMPLETO (SÍLABO)'!C16</f>
        <v>JENIFFER KIMBERLY MANAYALLE DELGADO</v>
      </c>
      <c r="D16" s="10" t="str">
        <f>'REGISTRO COMPLETO (SÍLABO)'!I16</f>
        <v/>
      </c>
      <c r="E16" s="10" t="str">
        <f>'REGISTRO COMPLETO (SÍLABO)'!J16</f>
        <v/>
      </c>
      <c r="F16" s="10" t="str">
        <f>'REGISTRO COMPLETO (SÍLABO)'!K16</f>
        <v/>
      </c>
      <c r="G16" s="10" t="str">
        <f>'REGISTRO COMPLETO (SÍLABO)'!L16</f>
        <v/>
      </c>
      <c r="H16" s="10" t="str">
        <f>'REGISTRO COMPLETO (SÍLABO)'!M16</f>
        <v/>
      </c>
      <c r="I16" s="10" t="str">
        <f>'REGISTRO COMPLETO (SÍLABO)'!N16</f>
        <v/>
      </c>
      <c r="J16" s="10" t="str">
        <f>'REGISTRO COMPLETO (SÍLABO)'!O16</f>
        <v/>
      </c>
      <c r="K16" s="10" t="str">
        <f>'REGISTRO COMPLETO (SÍLABO)'!P16</f>
        <v/>
      </c>
      <c r="L16" s="10" t="str">
        <f>'REGISTRO COMPLETO (SÍLABO)'!Q16</f>
        <v/>
      </c>
      <c r="M16" s="45">
        <f t="shared" si="1"/>
        <v>0</v>
      </c>
      <c r="N16" s="46" t="str">
        <f t="shared" si="2"/>
        <v>SIN REGISTRO</v>
      </c>
    </row>
    <row r="17" ht="18.0" customHeight="1">
      <c r="B17" s="10">
        <v>13.0</v>
      </c>
      <c r="C17" s="67" t="str">
        <f>'REGISTRO COMPLETO (SÍLABO)'!C17</f>
        <v>JELBER MAYKOL RODRIGUEZ ALDAZ</v>
      </c>
      <c r="D17" s="10" t="str">
        <f>'REGISTRO COMPLETO (SÍLABO)'!I17</f>
        <v/>
      </c>
      <c r="E17" s="10" t="str">
        <f>'REGISTRO COMPLETO (SÍLABO)'!J17</f>
        <v/>
      </c>
      <c r="F17" s="10" t="str">
        <f>'REGISTRO COMPLETO (SÍLABO)'!K17</f>
        <v/>
      </c>
      <c r="G17" s="10" t="str">
        <f>'REGISTRO COMPLETO (SÍLABO)'!L17</f>
        <v/>
      </c>
      <c r="H17" s="10" t="str">
        <f>'REGISTRO COMPLETO (SÍLABO)'!M17</f>
        <v/>
      </c>
      <c r="I17" s="10" t="str">
        <f>'REGISTRO COMPLETO (SÍLABO)'!N17</f>
        <v/>
      </c>
      <c r="J17" s="10" t="str">
        <f>'REGISTRO COMPLETO (SÍLABO)'!O17</f>
        <v/>
      </c>
      <c r="K17" s="10" t="str">
        <f>'REGISTRO COMPLETO (SÍLABO)'!P17</f>
        <v/>
      </c>
      <c r="L17" s="10" t="str">
        <f>'REGISTRO COMPLETO (SÍLABO)'!Q17</f>
        <v/>
      </c>
      <c r="M17" s="45">
        <f t="shared" si="1"/>
        <v>0</v>
      </c>
      <c r="N17" s="46" t="str">
        <f t="shared" si="2"/>
        <v>SIN REGISTRO</v>
      </c>
    </row>
    <row r="18" ht="18.0" customHeight="1">
      <c r="B18" s="10">
        <v>14.0</v>
      </c>
      <c r="C18" s="67" t="str">
        <f>'REGISTRO COMPLETO (SÍLABO)'!C18</f>
        <v>GRECIA CATHERINE SAMILLAN ALTAMIRANO</v>
      </c>
      <c r="D18" s="10" t="str">
        <f>'REGISTRO COMPLETO (SÍLABO)'!I18</f>
        <v/>
      </c>
      <c r="E18" s="10" t="str">
        <f>'REGISTRO COMPLETO (SÍLABO)'!J18</f>
        <v/>
      </c>
      <c r="F18" s="10" t="str">
        <f>'REGISTRO COMPLETO (SÍLABO)'!K18</f>
        <v/>
      </c>
      <c r="G18" s="10" t="str">
        <f>'REGISTRO COMPLETO (SÍLABO)'!L18</f>
        <v/>
      </c>
      <c r="H18" s="10" t="str">
        <f>'REGISTRO COMPLETO (SÍLABO)'!M18</f>
        <v/>
      </c>
      <c r="I18" s="10" t="str">
        <f>'REGISTRO COMPLETO (SÍLABO)'!N18</f>
        <v/>
      </c>
      <c r="J18" s="10" t="str">
        <f>'REGISTRO COMPLETO (SÍLABO)'!O18</f>
        <v/>
      </c>
      <c r="K18" s="10" t="str">
        <f>'REGISTRO COMPLETO (SÍLABO)'!P18</f>
        <v/>
      </c>
      <c r="L18" s="10" t="str">
        <f>'REGISTRO COMPLETO (SÍLABO)'!Q18</f>
        <v/>
      </c>
      <c r="M18" s="45">
        <f t="shared" si="1"/>
        <v>0</v>
      </c>
      <c r="N18" s="46" t="str">
        <f t="shared" si="2"/>
        <v>SIN REGISTRO</v>
      </c>
    </row>
    <row r="19" ht="18.0" customHeight="1">
      <c r="B19" s="10">
        <v>15.0</v>
      </c>
      <c r="C19" s="67" t="str">
        <f>'REGISTRO COMPLETO (SÍLABO)'!C19</f>
        <v>SELENA MARICIELO TORO BOCANEGRA</v>
      </c>
      <c r="D19" s="10" t="str">
        <f>'REGISTRO COMPLETO (SÍLABO)'!I19</f>
        <v/>
      </c>
      <c r="E19" s="10" t="str">
        <f>'REGISTRO COMPLETO (SÍLABO)'!J19</f>
        <v/>
      </c>
      <c r="F19" s="10" t="str">
        <f>'REGISTRO COMPLETO (SÍLABO)'!K19</f>
        <v/>
      </c>
      <c r="G19" s="10" t="str">
        <f>'REGISTRO COMPLETO (SÍLABO)'!L19</f>
        <v/>
      </c>
      <c r="H19" s="10" t="str">
        <f>'REGISTRO COMPLETO (SÍLABO)'!M19</f>
        <v/>
      </c>
      <c r="I19" s="10" t="str">
        <f>'REGISTRO COMPLETO (SÍLABO)'!N19</f>
        <v/>
      </c>
      <c r="J19" s="10" t="str">
        <f>'REGISTRO COMPLETO (SÍLABO)'!O19</f>
        <v/>
      </c>
      <c r="K19" s="10" t="str">
        <f>'REGISTRO COMPLETO (SÍLABO)'!P19</f>
        <v/>
      </c>
      <c r="L19" s="10" t="str">
        <f>'REGISTRO COMPLETO (SÍLABO)'!Q19</f>
        <v/>
      </c>
      <c r="M19" s="45">
        <f t="shared" si="1"/>
        <v>0</v>
      </c>
      <c r="N19" s="46" t="str">
        <f t="shared" si="2"/>
        <v>SIN REGISTRO</v>
      </c>
    </row>
    <row r="20" ht="18.0" customHeight="1">
      <c r="B20" s="10">
        <v>16.0</v>
      </c>
      <c r="C20" s="67" t="str">
        <f>'REGISTRO COMPLETO (SÍLABO)'!C20</f>
        <v>DANIEL ANTONIO VIDARTE VIDARTE</v>
      </c>
      <c r="D20" s="10" t="str">
        <f>'REGISTRO COMPLETO (SÍLABO)'!I20</f>
        <v/>
      </c>
      <c r="E20" s="10" t="str">
        <f>'REGISTRO COMPLETO (SÍLABO)'!J20</f>
        <v/>
      </c>
      <c r="F20" s="10" t="str">
        <f>'REGISTRO COMPLETO (SÍLABO)'!K20</f>
        <v/>
      </c>
      <c r="G20" s="10" t="str">
        <f>'REGISTRO COMPLETO (SÍLABO)'!L20</f>
        <v/>
      </c>
      <c r="H20" s="10" t="str">
        <f>'REGISTRO COMPLETO (SÍLABO)'!M20</f>
        <v/>
      </c>
      <c r="I20" s="10" t="str">
        <f>'REGISTRO COMPLETO (SÍLABO)'!N20</f>
        <v/>
      </c>
      <c r="J20" s="10" t="str">
        <f>'REGISTRO COMPLETO (SÍLABO)'!O20</f>
        <v/>
      </c>
      <c r="K20" s="10" t="str">
        <f>'REGISTRO COMPLETO (SÍLABO)'!P20</f>
        <v/>
      </c>
      <c r="L20" s="10" t="str">
        <f>'REGISTRO COMPLETO (SÍLABO)'!Q20</f>
        <v/>
      </c>
      <c r="M20" s="45">
        <f t="shared" si="1"/>
        <v>0</v>
      </c>
      <c r="N20" s="46" t="str">
        <f t="shared" si="2"/>
        <v>SIN REGISTRO</v>
      </c>
    </row>
    <row r="21" ht="18.0" customHeight="1">
      <c r="B21" s="10">
        <v>17.0</v>
      </c>
      <c r="C21" s="67" t="str">
        <f>'REGISTRO COMPLETO (SÍLABO)'!C21</f>
        <v/>
      </c>
      <c r="D21" s="10" t="str">
        <f>'REGISTRO COMPLETO (SÍLABO)'!I21</f>
        <v/>
      </c>
      <c r="E21" s="10" t="str">
        <f>'REGISTRO COMPLETO (SÍLABO)'!J21</f>
        <v/>
      </c>
      <c r="F21" s="10" t="str">
        <f>'REGISTRO COMPLETO (SÍLABO)'!K21</f>
        <v/>
      </c>
      <c r="G21" s="10" t="str">
        <f>'REGISTRO COMPLETO (SÍLABO)'!L21</f>
        <v/>
      </c>
      <c r="H21" s="10" t="str">
        <f>'REGISTRO COMPLETO (SÍLABO)'!M21</f>
        <v/>
      </c>
      <c r="I21" s="10" t="str">
        <f>'REGISTRO COMPLETO (SÍLABO)'!N21</f>
        <v/>
      </c>
      <c r="J21" s="10" t="str">
        <f>'REGISTRO COMPLETO (SÍLABO)'!O21</f>
        <v/>
      </c>
      <c r="K21" s="10" t="str">
        <f>'REGISTRO COMPLETO (SÍLABO)'!P21</f>
        <v/>
      </c>
      <c r="L21" s="10" t="str">
        <f>'REGISTRO COMPLETO (SÍLABO)'!Q21</f>
        <v/>
      </c>
      <c r="M21" s="45">
        <f t="shared" si="1"/>
        <v>0</v>
      </c>
      <c r="N21" s="46" t="str">
        <f t="shared" si="2"/>
        <v>SIN REGISTRO</v>
      </c>
    </row>
    <row r="22" ht="18.0" customHeight="1">
      <c r="B22" s="10">
        <v>18.0</v>
      </c>
      <c r="C22" s="67" t="str">
        <f>'REGISTRO COMPLETO (SÍLABO)'!C22</f>
        <v/>
      </c>
      <c r="D22" s="10" t="str">
        <f>'REGISTRO COMPLETO (SÍLABO)'!I22</f>
        <v/>
      </c>
      <c r="E22" s="10" t="str">
        <f>'REGISTRO COMPLETO (SÍLABO)'!J22</f>
        <v/>
      </c>
      <c r="F22" s="10" t="str">
        <f>'REGISTRO COMPLETO (SÍLABO)'!K22</f>
        <v/>
      </c>
      <c r="G22" s="10" t="str">
        <f>'REGISTRO COMPLETO (SÍLABO)'!L22</f>
        <v/>
      </c>
      <c r="H22" s="10" t="str">
        <f>'REGISTRO COMPLETO (SÍLABO)'!M22</f>
        <v/>
      </c>
      <c r="I22" s="10" t="str">
        <f>'REGISTRO COMPLETO (SÍLABO)'!N22</f>
        <v/>
      </c>
      <c r="J22" s="10" t="str">
        <f>'REGISTRO COMPLETO (SÍLABO)'!O22</f>
        <v/>
      </c>
      <c r="K22" s="10" t="str">
        <f>'REGISTRO COMPLETO (SÍLABO)'!P22</f>
        <v/>
      </c>
      <c r="L22" s="10" t="str">
        <f>'REGISTRO COMPLETO (SÍLABO)'!Q22</f>
        <v/>
      </c>
      <c r="M22" s="45">
        <f t="shared" si="1"/>
        <v>0</v>
      </c>
      <c r="N22" s="46" t="str">
        <f t="shared" si="2"/>
        <v>SIN REGISTRO</v>
      </c>
    </row>
    <row r="23" ht="18.0" customHeight="1">
      <c r="B23" s="10">
        <v>19.0</v>
      </c>
      <c r="C23" s="67" t="str">
        <f>'REGISTRO COMPLETO (SÍLABO)'!C23</f>
        <v/>
      </c>
      <c r="D23" s="10" t="str">
        <f>'REGISTRO COMPLETO (SÍLABO)'!I23</f>
        <v/>
      </c>
      <c r="E23" s="10" t="str">
        <f>'REGISTRO COMPLETO (SÍLABO)'!J23</f>
        <v/>
      </c>
      <c r="F23" s="10" t="str">
        <f>'REGISTRO COMPLETO (SÍLABO)'!K23</f>
        <v/>
      </c>
      <c r="G23" s="10" t="str">
        <f>'REGISTRO COMPLETO (SÍLABO)'!L23</f>
        <v/>
      </c>
      <c r="H23" s="10" t="str">
        <f>'REGISTRO COMPLETO (SÍLABO)'!M23</f>
        <v/>
      </c>
      <c r="I23" s="10" t="str">
        <f>'REGISTRO COMPLETO (SÍLABO)'!N23</f>
        <v/>
      </c>
      <c r="J23" s="10" t="str">
        <f>'REGISTRO COMPLETO (SÍLABO)'!O23</f>
        <v/>
      </c>
      <c r="K23" s="10" t="str">
        <f>'REGISTRO COMPLETO (SÍLABO)'!P23</f>
        <v/>
      </c>
      <c r="L23" s="10" t="str">
        <f>'REGISTRO COMPLETO (SÍLABO)'!Q23</f>
        <v/>
      </c>
      <c r="M23" s="45">
        <f t="shared" si="1"/>
        <v>0</v>
      </c>
      <c r="N23" s="46" t="str">
        <f t="shared" si="2"/>
        <v>SIN REGISTRO</v>
      </c>
    </row>
    <row r="24" ht="18.0" customHeight="1">
      <c r="B24" s="10">
        <v>20.0</v>
      </c>
      <c r="C24" s="67" t="str">
        <f>'REGISTRO COMPLETO (SÍLABO)'!C24</f>
        <v/>
      </c>
      <c r="D24" s="10" t="str">
        <f>'REGISTRO COMPLETO (SÍLABO)'!I24</f>
        <v/>
      </c>
      <c r="E24" s="10" t="str">
        <f>'REGISTRO COMPLETO (SÍLABO)'!J24</f>
        <v/>
      </c>
      <c r="F24" s="10" t="str">
        <f>'REGISTRO COMPLETO (SÍLABO)'!K24</f>
        <v/>
      </c>
      <c r="G24" s="10" t="str">
        <f>'REGISTRO COMPLETO (SÍLABO)'!L24</f>
        <v/>
      </c>
      <c r="H24" s="10" t="str">
        <f>'REGISTRO COMPLETO (SÍLABO)'!M24</f>
        <v/>
      </c>
      <c r="I24" s="10" t="str">
        <f>'REGISTRO COMPLETO (SÍLABO)'!N24</f>
        <v/>
      </c>
      <c r="J24" s="10" t="str">
        <f>'REGISTRO COMPLETO (SÍLABO)'!O24</f>
        <v/>
      </c>
      <c r="K24" s="10" t="str">
        <f>'REGISTRO COMPLETO (SÍLABO)'!P24</f>
        <v/>
      </c>
      <c r="L24" s="10" t="str">
        <f>'REGISTRO COMPLETO (SÍLABO)'!Q24</f>
        <v/>
      </c>
      <c r="M24" s="45">
        <f t="shared" si="1"/>
        <v>0</v>
      </c>
      <c r="N24" s="46" t="str">
        <f t="shared" si="2"/>
        <v>SIN REGISTRO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">
    <mergeCell ref="B1:C2"/>
    <mergeCell ref="D1:N1"/>
    <mergeCell ref="D2:N2"/>
    <mergeCell ref="B3:C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3" width="24.0"/>
    <col customWidth="1" min="4" max="4" width="10.0"/>
    <col customWidth="1" min="5" max="5" width="26.0"/>
    <col customWidth="1" min="6" max="6" width="36.0"/>
    <col customWidth="1" min="7" max="7" width="42.14"/>
    <col customWidth="1" min="8" max="26" width="8.71"/>
  </cols>
  <sheetData>
    <row r="2">
      <c r="B2" s="69" t="s">
        <v>0</v>
      </c>
    </row>
    <row r="3">
      <c r="B3" s="70" t="s">
        <v>174</v>
      </c>
    </row>
    <row r="5">
      <c r="B5" s="4" t="s">
        <v>175</v>
      </c>
      <c r="C5" s="6"/>
      <c r="E5" s="4" t="s">
        <v>176</v>
      </c>
      <c r="F5" s="5"/>
      <c r="G5" s="6"/>
    </row>
    <row r="6">
      <c r="B6" s="15" t="s">
        <v>177</v>
      </c>
      <c r="C6" s="15" t="s">
        <v>178</v>
      </c>
      <c r="E6" s="15" t="s">
        <v>179</v>
      </c>
      <c r="F6" s="15" t="s">
        <v>180</v>
      </c>
      <c r="G6" s="15" t="s">
        <v>181</v>
      </c>
    </row>
    <row r="7">
      <c r="B7" s="71" t="s">
        <v>132</v>
      </c>
      <c r="C7" s="72" t="s">
        <v>99</v>
      </c>
      <c r="E7" s="8" t="s">
        <v>182</v>
      </c>
      <c r="F7" s="73" t="s">
        <v>183</v>
      </c>
      <c r="G7" s="18" t="s">
        <v>184</v>
      </c>
    </row>
    <row r="8">
      <c r="B8" s="74" t="s">
        <v>131</v>
      </c>
      <c r="C8" s="72" t="s">
        <v>185</v>
      </c>
      <c r="E8" s="8" t="s">
        <v>186</v>
      </c>
      <c r="F8" s="73" t="s">
        <v>187</v>
      </c>
      <c r="G8" s="18" t="s">
        <v>188</v>
      </c>
    </row>
    <row r="9">
      <c r="B9" s="75" t="s">
        <v>142</v>
      </c>
      <c r="C9" s="72" t="s">
        <v>189</v>
      </c>
      <c r="E9" s="8" t="s">
        <v>190</v>
      </c>
      <c r="F9" s="73" t="s">
        <v>191</v>
      </c>
      <c r="G9" s="18" t="s">
        <v>192</v>
      </c>
    </row>
    <row r="10">
      <c r="E10" s="8" t="s">
        <v>193</v>
      </c>
      <c r="F10" s="73" t="s">
        <v>194</v>
      </c>
      <c r="G10" s="18" t="s">
        <v>195</v>
      </c>
    </row>
    <row r="12">
      <c r="B12" s="4" t="s">
        <v>196</v>
      </c>
      <c r="C12" s="5"/>
      <c r="D12" s="5"/>
      <c r="E12" s="5"/>
      <c r="F12" s="5"/>
      <c r="G12" s="6"/>
    </row>
    <row r="13">
      <c r="B13" s="76" t="s">
        <v>197</v>
      </c>
      <c r="C13" s="6"/>
      <c r="D13" s="77" t="s">
        <v>24</v>
      </c>
      <c r="E13" s="78" t="s">
        <v>198</v>
      </c>
      <c r="F13" s="79" t="s">
        <v>199</v>
      </c>
      <c r="G13" s="6"/>
    </row>
    <row r="14">
      <c r="B14" s="76" t="s">
        <v>200</v>
      </c>
      <c r="C14" s="6"/>
      <c r="D14" s="77" t="s">
        <v>5</v>
      </c>
      <c r="E14" s="80" t="s">
        <v>201</v>
      </c>
      <c r="F14" s="79" t="s">
        <v>202</v>
      </c>
      <c r="G14" s="6"/>
    </row>
    <row r="15">
      <c r="B15" s="76" t="s">
        <v>203</v>
      </c>
      <c r="C15" s="6"/>
      <c r="D15" s="77" t="s">
        <v>5</v>
      </c>
      <c r="E15" s="80" t="s">
        <v>204</v>
      </c>
      <c r="F15" s="79" t="s">
        <v>205</v>
      </c>
      <c r="G15" s="6"/>
    </row>
    <row r="16">
      <c r="B16" s="76" t="s">
        <v>206</v>
      </c>
      <c r="C16" s="6"/>
      <c r="D16" s="77" t="s">
        <v>19</v>
      </c>
      <c r="E16" s="80" t="s">
        <v>207</v>
      </c>
      <c r="F16" s="79" t="s">
        <v>208</v>
      </c>
      <c r="G16" s="6"/>
    </row>
    <row r="17">
      <c r="B17" s="33" t="s">
        <v>209</v>
      </c>
      <c r="C17" s="5"/>
      <c r="D17" s="5"/>
      <c r="E17" s="5"/>
      <c r="F17" s="5"/>
      <c r="G17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14:G14"/>
    <mergeCell ref="F15:G15"/>
    <mergeCell ref="B16:C16"/>
    <mergeCell ref="F16:G16"/>
    <mergeCell ref="B17:G17"/>
    <mergeCell ref="B5:C5"/>
    <mergeCell ref="E5:G5"/>
    <mergeCell ref="B12:G12"/>
    <mergeCell ref="B13:C13"/>
    <mergeCell ref="F13:G13"/>
    <mergeCell ref="B14:C14"/>
    <mergeCell ref="B15:C1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2026-09-04T13:49:11Z</dcterms:created>
  <dc:creator>openpyxl</dc:creator>
</cp:coreProperties>
</file>