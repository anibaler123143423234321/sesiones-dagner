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F" sheetId="1" state="visible" r:id="rId1"/>
    <sheet xmlns:r="http://schemas.openxmlformats.org/officeDocument/2006/relationships" name="Pauta Parte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B0F19"/>
      <sz val="13"/>
    </font>
    <font>
      <i val="1"/>
      <color rgb="004B5563"/>
      <sz val="9"/>
    </font>
    <font>
      <b val="1"/>
      <color rgb="00FFFFFF"/>
      <sz val="10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7E89"/>
      </patternFill>
    </fill>
    <fill>
      <patternFill patternType="solid">
        <fgColor rgb="00E6F8FA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CFD5D9"/>
      </left>
      <right style="thin">
        <color rgb="00CFD5D9"/>
      </right>
      <top style="thin">
        <color rgb="00CFD5D9"/>
      </top>
      <bottom style="thin">
        <color rgb="00CFD5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0" customWidth="1" min="2" max="2"/>
    <col width="7" customWidth="1" min="3" max="3"/>
    <col width="11" customWidth="1" min="4" max="4"/>
    <col width="12" customWidth="1" min="5" max="5"/>
    <col width="12" customWidth="1" min="6" max="6"/>
    <col width="12" customWidth="1" min="7" max="7"/>
    <col width="12" customWidth="1" min="8" max="8"/>
    <col width="13" customWidth="1" min="9" max="9"/>
    <col width="11" customWidth="1" min="10" max="10"/>
    <col width="10" customWidth="1" min="11" max="11"/>
    <col width="34" customWidth="1" min="12" max="12"/>
  </cols>
  <sheetData>
    <row r="1">
      <c r="A1" s="1" t="inlineStr">
        <is>
          <t>Examen final [EF] · Diseño Web · Centro de Informática USS · Jueves 05/11/2026</t>
        </is>
      </c>
    </row>
    <row r="2">
      <c r="A2" s="2" t="inlineStr">
        <is>
          <t>Parte A: nota del cuestionario del Aula Virtual (0 a 10). Parte B: cada criterio de 0 a 2 (logrado 2, en proceso 1, no logrado 0). El EF vale el 30 % del promedio final.</t>
        </is>
      </c>
    </row>
    <row r="4" ht="42" customHeight="1">
      <c r="A4" s="3" t="inlineStr">
        <is>
          <t>N.º</t>
        </is>
      </c>
      <c r="B4" s="3" t="inlineStr">
        <is>
          <t>Apellidos y nombres</t>
        </is>
      </c>
      <c r="C4" s="3" t="inlineStr">
        <is>
          <t>Orden</t>
        </is>
      </c>
      <c r="D4" s="3" t="inlineStr">
        <is>
          <t>Parte A (0-10)</t>
        </is>
      </c>
      <c r="E4" s="3" t="inlineStr">
        <is>
          <t>Sitio publicado y funcional</t>
        </is>
      </c>
      <c r="F4" s="3" t="inlineStr">
        <is>
          <t>Diseño y fidelidad</t>
        </is>
      </c>
      <c r="G4" s="3" t="inlineStr">
        <is>
          <t>Código y pruebas</t>
        </is>
      </c>
      <c r="H4" s="3" t="inlineStr">
        <is>
          <t>Uso responsable de la IA</t>
        </is>
      </c>
      <c r="I4" s="3" t="inlineStr">
        <is>
          <t>Presentación</t>
        </is>
      </c>
      <c r="J4" s="3" t="inlineStr">
        <is>
          <t>Parte B (0-10)</t>
        </is>
      </c>
      <c r="K4" s="3" t="inlineStr">
        <is>
          <t>EF (0-20)</t>
        </is>
      </c>
      <c r="L4" s="3" t="inlineStr">
        <is>
          <t>Observaciones</t>
        </is>
      </c>
    </row>
    <row r="5">
      <c r="A5" s="4" t="n">
        <v>1</v>
      </c>
      <c r="B5" s="5" t="inlineStr">
        <is>
          <t>NURIED ARLET ATOCHE ORELLANA</t>
        </is>
      </c>
      <c r="C5" s="4" t="n"/>
      <c r="D5" s="4" t="n"/>
      <c r="E5" s="4" t="n"/>
      <c r="F5" s="4" t="n"/>
      <c r="G5" s="4" t="n"/>
      <c r="H5" s="4" t="n"/>
      <c r="I5" s="4" t="n"/>
      <c r="J5" s="6">
        <f>IF(COUNT(E5:I5)=0,"",SUM(E5:I5))</f>
        <v/>
      </c>
      <c r="K5" s="6">
        <f>IF(AND(D5="",J5=""),"",N(D5)+N(J5))</f>
        <v/>
      </c>
      <c r="L5" s="5" t="n"/>
    </row>
    <row r="6">
      <c r="A6" s="7" t="n">
        <v>2</v>
      </c>
      <c r="B6" s="8" t="inlineStr">
        <is>
          <t>ESTHER ZULEYKA BAYONA PAREDES</t>
        </is>
      </c>
      <c r="C6" s="7" t="n"/>
      <c r="D6" s="7" t="n"/>
      <c r="E6" s="7" t="n"/>
      <c r="F6" s="7" t="n"/>
      <c r="G6" s="7" t="n"/>
      <c r="H6" s="7" t="n"/>
      <c r="I6" s="7" t="n"/>
      <c r="J6" s="6">
        <f>IF(COUNT(E6:I6)=0,"",SUM(E6:I6))</f>
        <v/>
      </c>
      <c r="K6" s="6">
        <f>IF(AND(D6="",J6=""),"",N(D6)+N(J6))</f>
        <v/>
      </c>
      <c r="L6" s="8" t="n"/>
    </row>
    <row r="7">
      <c r="A7" s="4" t="n">
        <v>3</v>
      </c>
      <c r="B7" s="5" t="inlineStr">
        <is>
          <t>RODOLFO VALENTINO BONILLA VALLEJOS</t>
        </is>
      </c>
      <c r="C7" s="4" t="n"/>
      <c r="D7" s="4" t="n"/>
      <c r="E7" s="4" t="n"/>
      <c r="F7" s="4" t="n"/>
      <c r="G7" s="4" t="n"/>
      <c r="H7" s="4" t="n"/>
      <c r="I7" s="4" t="n"/>
      <c r="J7" s="6">
        <f>IF(COUNT(E7:I7)=0,"",SUM(E7:I7))</f>
        <v/>
      </c>
      <c r="K7" s="6">
        <f>IF(AND(D7="",J7=""),"",N(D7)+N(J7))</f>
        <v/>
      </c>
      <c r="L7" s="5" t="n"/>
    </row>
    <row r="8">
      <c r="A8" s="7" t="n">
        <v>4</v>
      </c>
      <c r="B8" s="8" t="inlineStr">
        <is>
          <t>NATAN RAY CABRERA ACUÑA</t>
        </is>
      </c>
      <c r="C8" s="7" t="n"/>
      <c r="D8" s="7" t="n"/>
      <c r="E8" s="7" t="n"/>
      <c r="F8" s="7" t="n"/>
      <c r="G8" s="7" t="n"/>
      <c r="H8" s="7" t="n"/>
      <c r="I8" s="7" t="n"/>
      <c r="J8" s="6">
        <f>IF(COUNT(E8:I8)=0,"",SUM(E8:I8))</f>
        <v/>
      </c>
      <c r="K8" s="6">
        <f>IF(AND(D8="",J8=""),"",N(D8)+N(J8))</f>
        <v/>
      </c>
      <c r="L8" s="8" t="n"/>
    </row>
    <row r="9">
      <c r="A9" s="4" t="n">
        <v>5</v>
      </c>
      <c r="B9" s="5" t="inlineStr">
        <is>
          <t>JOSE FABRICIO CASTAÑEDA COTRINA</t>
        </is>
      </c>
      <c r="C9" s="4" t="n"/>
      <c r="D9" s="4" t="n"/>
      <c r="E9" s="4" t="n"/>
      <c r="F9" s="4" t="n"/>
      <c r="G9" s="4" t="n"/>
      <c r="H9" s="4" t="n"/>
      <c r="I9" s="4" t="n"/>
      <c r="J9" s="6">
        <f>IF(COUNT(E9:I9)=0,"",SUM(E9:I9))</f>
        <v/>
      </c>
      <c r="K9" s="6">
        <f>IF(AND(D9="",J9=""),"",N(D9)+N(J9))</f>
        <v/>
      </c>
      <c r="L9" s="5" t="n"/>
    </row>
    <row r="10">
      <c r="A10" s="7" t="n">
        <v>6</v>
      </c>
      <c r="B10" s="8" t="inlineStr">
        <is>
          <t>DAYHELI ANGELINE CASTILLO ARCELA</t>
        </is>
      </c>
      <c r="C10" s="7" t="n"/>
      <c r="D10" s="7" t="n"/>
      <c r="E10" s="7" t="n"/>
      <c r="F10" s="7" t="n"/>
      <c r="G10" s="7" t="n"/>
      <c r="H10" s="7" t="n"/>
      <c r="I10" s="7" t="n"/>
      <c r="J10" s="6">
        <f>IF(COUNT(E10:I10)=0,"",SUM(E10:I10))</f>
        <v/>
      </c>
      <c r="K10" s="6">
        <f>IF(AND(D10="",J10=""),"",N(D10)+N(J10))</f>
        <v/>
      </c>
      <c r="L10" s="8" t="n"/>
    </row>
    <row r="11">
      <c r="A11" s="4" t="n">
        <v>7</v>
      </c>
      <c r="B11" s="5" t="inlineStr">
        <is>
          <t>JUAN D'ALESSANDRO CUSTODIO CAMPOS</t>
        </is>
      </c>
      <c r="C11" s="4" t="n"/>
      <c r="D11" s="4" t="n"/>
      <c r="E11" s="4" t="n"/>
      <c r="F11" s="4" t="n"/>
      <c r="G11" s="4" t="n"/>
      <c r="H11" s="4" t="n"/>
      <c r="I11" s="4" t="n"/>
      <c r="J11" s="6">
        <f>IF(COUNT(E11:I11)=0,"",SUM(E11:I11))</f>
        <v/>
      </c>
      <c r="K11" s="6">
        <f>IF(AND(D11="",J11=""),"",N(D11)+N(J11))</f>
        <v/>
      </c>
      <c r="L11" s="5" t="n"/>
    </row>
    <row r="12">
      <c r="A12" s="7" t="n">
        <v>8</v>
      </c>
      <c r="B12" s="8" t="inlineStr">
        <is>
          <t>ANYILI PIERINA DIAZ CARRASCO</t>
        </is>
      </c>
      <c r="C12" s="7" t="n"/>
      <c r="D12" s="7" t="n"/>
      <c r="E12" s="7" t="n"/>
      <c r="F12" s="7" t="n"/>
      <c r="G12" s="7" t="n"/>
      <c r="H12" s="7" t="n"/>
      <c r="I12" s="7" t="n"/>
      <c r="J12" s="6">
        <f>IF(COUNT(E12:I12)=0,"",SUM(E12:I12))</f>
        <v/>
      </c>
      <c r="K12" s="6">
        <f>IF(AND(D12="",J12=""),"",N(D12)+N(J12))</f>
        <v/>
      </c>
      <c r="L12" s="8" t="n"/>
    </row>
    <row r="13">
      <c r="A13" s="4" t="n">
        <v>9</v>
      </c>
      <c r="B13" s="5" t="inlineStr">
        <is>
          <t>CESAR ENRIQUE FARROÑAN SANCHEZ</t>
        </is>
      </c>
      <c r="C13" s="4" t="n"/>
      <c r="D13" s="4" t="n"/>
      <c r="E13" s="4" t="n"/>
      <c r="F13" s="4" t="n"/>
      <c r="G13" s="4" t="n"/>
      <c r="H13" s="4" t="n"/>
      <c r="I13" s="4" t="n"/>
      <c r="J13" s="6">
        <f>IF(COUNT(E13:I13)=0,"",SUM(E13:I13))</f>
        <v/>
      </c>
      <c r="K13" s="6">
        <f>IF(AND(D13="",J13=""),"",N(D13)+N(J13))</f>
        <v/>
      </c>
      <c r="L13" s="5" t="n"/>
    </row>
    <row r="14">
      <c r="A14" s="7" t="n">
        <v>10</v>
      </c>
      <c r="B14" s="8" t="inlineStr">
        <is>
          <t>JOSUE ALBANO GALVEZ ODAR</t>
        </is>
      </c>
      <c r="C14" s="7" t="n"/>
      <c r="D14" s="7" t="n"/>
      <c r="E14" s="7" t="n"/>
      <c r="F14" s="7" t="n"/>
      <c r="G14" s="7" t="n"/>
      <c r="H14" s="7" t="n"/>
      <c r="I14" s="7" t="n"/>
      <c r="J14" s="6">
        <f>IF(COUNT(E14:I14)=0,"",SUM(E14:I14))</f>
        <v/>
      </c>
      <c r="K14" s="6">
        <f>IF(AND(D14="",J14=""),"",N(D14)+N(J14))</f>
        <v/>
      </c>
      <c r="L14" s="8" t="n"/>
    </row>
    <row r="15">
      <c r="A15" s="4" t="n">
        <v>11</v>
      </c>
      <c r="B15" s="5" t="inlineStr">
        <is>
          <t>HILDER YOSMAN LARA TINEO</t>
        </is>
      </c>
      <c r="C15" s="4" t="n"/>
      <c r="D15" s="4" t="n"/>
      <c r="E15" s="4" t="n"/>
      <c r="F15" s="4" t="n"/>
      <c r="G15" s="4" t="n"/>
      <c r="H15" s="4" t="n"/>
      <c r="I15" s="4" t="n"/>
      <c r="J15" s="6">
        <f>IF(COUNT(E15:I15)=0,"",SUM(E15:I15))</f>
        <v/>
      </c>
      <c r="K15" s="6">
        <f>IF(AND(D15="",J15=""),"",N(D15)+N(J15))</f>
        <v/>
      </c>
      <c r="L15" s="5" t="n"/>
    </row>
    <row r="16">
      <c r="A16" s="7" t="n">
        <v>12</v>
      </c>
      <c r="B16" s="8" t="inlineStr">
        <is>
          <t>JENIFFER KIMBERLY MANAYALLE DELGADO</t>
        </is>
      </c>
      <c r="C16" s="7" t="n"/>
      <c r="D16" s="7" t="n"/>
      <c r="E16" s="7" t="n"/>
      <c r="F16" s="7" t="n"/>
      <c r="G16" s="7" t="n"/>
      <c r="H16" s="7" t="n"/>
      <c r="I16" s="7" t="n"/>
      <c r="J16" s="6">
        <f>IF(COUNT(E16:I16)=0,"",SUM(E16:I16))</f>
        <v/>
      </c>
      <c r="K16" s="6">
        <f>IF(AND(D16="",J16=""),"",N(D16)+N(J16))</f>
        <v/>
      </c>
      <c r="L16" s="8" t="n"/>
    </row>
    <row r="17">
      <c r="A17" s="4" t="n">
        <v>13</v>
      </c>
      <c r="B17" s="5" t="inlineStr">
        <is>
          <t>JELBER MAYKOL RODRIGUEZ ALDAZ</t>
        </is>
      </c>
      <c r="C17" s="4" t="n"/>
      <c r="D17" s="4" t="n"/>
      <c r="E17" s="4" t="n"/>
      <c r="F17" s="4" t="n"/>
      <c r="G17" s="4" t="n"/>
      <c r="H17" s="4" t="n"/>
      <c r="I17" s="4" t="n"/>
      <c r="J17" s="6">
        <f>IF(COUNT(E17:I17)=0,"",SUM(E17:I17))</f>
        <v/>
      </c>
      <c r="K17" s="6">
        <f>IF(AND(D17="",J17=""),"",N(D17)+N(J17))</f>
        <v/>
      </c>
      <c r="L17" s="5" t="n"/>
    </row>
    <row r="18">
      <c r="A18" s="7" t="n">
        <v>14</v>
      </c>
      <c r="B18" s="8" t="inlineStr">
        <is>
          <t>GRECIA CATHERINE SAMILLAN ALTAMIRANO</t>
        </is>
      </c>
      <c r="C18" s="7" t="n"/>
      <c r="D18" s="7" t="n"/>
      <c r="E18" s="7" t="n"/>
      <c r="F18" s="7" t="n"/>
      <c r="G18" s="7" t="n"/>
      <c r="H18" s="7" t="n"/>
      <c r="I18" s="7" t="n"/>
      <c r="J18" s="6">
        <f>IF(COUNT(E18:I18)=0,"",SUM(E18:I18))</f>
        <v/>
      </c>
      <c r="K18" s="6">
        <f>IF(AND(D18="",J18=""),"",N(D18)+N(J18))</f>
        <v/>
      </c>
      <c r="L18" s="8" t="n"/>
    </row>
    <row r="19">
      <c r="A19" s="4" t="n">
        <v>15</v>
      </c>
      <c r="B19" s="5" t="inlineStr">
        <is>
          <t>SELENA MARICIELO TORO BOCANEGRA</t>
        </is>
      </c>
      <c r="C19" s="4" t="n"/>
      <c r="D19" s="4" t="n"/>
      <c r="E19" s="4" t="n"/>
      <c r="F19" s="4" t="n"/>
      <c r="G19" s="4" t="n"/>
      <c r="H19" s="4" t="n"/>
      <c r="I19" s="4" t="n"/>
      <c r="J19" s="6">
        <f>IF(COUNT(E19:I19)=0,"",SUM(E19:I19))</f>
        <v/>
      </c>
      <c r="K19" s="6">
        <f>IF(AND(D19="",J19=""),"",N(D19)+N(J19))</f>
        <v/>
      </c>
      <c r="L19" s="5" t="n"/>
    </row>
    <row r="20">
      <c r="A20" s="7" t="n">
        <v>16</v>
      </c>
      <c r="B20" s="8" t="inlineStr">
        <is>
          <t>DANIEL ANTONIO VIDARTE VIDARTE</t>
        </is>
      </c>
      <c r="C20" s="7" t="n"/>
      <c r="D20" s="7" t="n"/>
      <c r="E20" s="7" t="n"/>
      <c r="F20" s="7" t="n"/>
      <c r="G20" s="7" t="n"/>
      <c r="H20" s="7" t="n"/>
      <c r="I20" s="7" t="n"/>
      <c r="J20" s="6">
        <f>IF(COUNT(E20:I20)=0,"",SUM(E20:I20))</f>
        <v/>
      </c>
      <c r="K20" s="6">
        <f>IF(AND(D20="",J20=""),"",N(D20)+N(J20))</f>
        <v/>
      </c>
      <c r="L20" s="8" t="n"/>
    </row>
    <row r="22">
      <c r="B22" s="9" t="inlineStr">
        <is>
          <t>Promedio del aula</t>
        </is>
      </c>
      <c r="D22" s="10">
        <f>IFERROR(ROUND(AVERAGE(D5:D20),2),"")</f>
        <v/>
      </c>
      <c r="J22" s="10">
        <f>IFERROR(ROUND(AVERAGE(J5:J20),2),"")</f>
        <v/>
      </c>
      <c r="K22" s="10">
        <f>IFERROR(ROUND(AVERAGE(K5:K20),2),"")</f>
        <v/>
      </c>
    </row>
  </sheetData>
  <dataValidations count="2">
    <dataValidation sqref="D5 D6 D7 D8 D9 D10 D11 D12 D13 D14 D15 D16 D17 D18 D19 D20" showDropDown="0" showInputMessage="0" showErrorMessage="0" allowBlank="1" error="La Parte A va de 0 a 10." type="decimal" operator="between">
      <formula1>0</formula1>
      <formula2>10</formula2>
    </dataValidation>
    <dataValidation sqref="E5:I5 E6:I6 E7:I7 E8:I8 E9:I9 E10:I10 E11:I11 E12:I12 E13:I13 E14:I14 E15:I15 E16:I16 E17:I17 E18:I18 E19:I19 E20:I20" showDropDown="0" showInputMessage="0" showErrorMessage="0" allowBlank="1" error="Cada criterio va de 0 a 2." type="whole" operator="between">
      <formula1>0</formula1>
      <formula2>2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36" customWidth="1" min="3" max="3"/>
    <col width="30" customWidth="1" min="4" max="4"/>
  </cols>
  <sheetData>
    <row r="1">
      <c r="A1" s="11" t="inlineStr">
        <is>
          <t>Criterio</t>
        </is>
      </c>
      <c r="B1" s="11" t="inlineStr">
        <is>
          <t>Logrado (2)</t>
        </is>
      </c>
      <c r="C1" s="11" t="inlineStr">
        <is>
          <t>En proceso (1)</t>
        </is>
      </c>
      <c r="D1" s="11" t="inlineStr">
        <is>
          <t>No logrado (0)</t>
        </is>
      </c>
    </row>
    <row r="2">
      <c r="A2" s="12" t="inlineStr">
        <is>
          <t>Sitio publicado y funcional</t>
        </is>
      </c>
      <c r="B2" s="12" t="inlineStr">
        <is>
          <t>En Netlify; enlaces, celular a 390 px, formulario que guarda mensajes y 404</t>
        </is>
      </c>
      <c r="C2" s="12" t="inlineStr">
        <is>
          <t>Publicado, con algún enlace roto o sin probar en el celular</t>
        </is>
      </c>
      <c r="D2" s="12" t="inlineStr">
        <is>
          <t>No está publicado o no abre</t>
        </is>
      </c>
    </row>
    <row r="3">
      <c r="A3" s="12" t="inlineStr">
        <is>
          <t>Diseño y fidelidad</t>
        </is>
      </c>
      <c r="B3" s="12" t="inlineStr">
        <is>
          <t>Figma con escritorio, celular y componentes; el sitio respeta sus colores, letras y medidas</t>
        </is>
      </c>
      <c r="C3" s="12" t="inlineStr">
        <is>
          <t>Hay Figma, pero el sitio se aparta en varias partes</t>
        </is>
      </c>
      <c r="D3" s="12" t="inlineStr">
        <is>
          <t>Sin Figma o sin relación con el sitio</t>
        </is>
      </c>
    </row>
    <row r="4">
      <c r="A4" s="12" t="inlineStr">
        <is>
          <t>Código y pruebas</t>
        </is>
      </c>
      <c r="B4" s="12" t="inlineStr">
        <is>
          <t>HTML semántico y válido; explica la parte del código que se le pide; Lighthouse 90+ en Accesibilidad</t>
        </is>
      </c>
      <c r="C4" s="12" t="inlineStr">
        <is>
          <t>Explica con ayuda o hay errores en el validador</t>
        </is>
      </c>
      <c r="D4" s="12" t="inlineStr">
        <is>
          <t>No puede explicar su código</t>
        </is>
      </c>
    </row>
    <row r="5">
      <c r="A5" s="12" t="inlineStr">
        <is>
          <t>Uso responsable de la IA</t>
        </is>
      </c>
      <c r="B5" s="12" t="inlineStr">
        <is>
          <t>Bitácora con 3 prompts o más: qué pidió, qué corrigió y cómo lo comprobó</t>
        </is>
      </c>
      <c r="C5" s="12" t="inlineStr">
        <is>
          <t>Bitácora incompleta o sin la comprobación</t>
        </is>
      </c>
      <c r="D5" s="12" t="inlineStr">
        <is>
          <t>Sin bitácora, o código que no entiende</t>
        </is>
      </c>
    </row>
    <row r="6">
      <c r="A6" s="12" t="inlineStr">
        <is>
          <t>Presentación</t>
        </is>
      </c>
      <c r="B6" s="12" t="inlineStr">
        <is>
          <t>Sigue el guion en 5 minutos, con orden y claridad; responde las preguntas</t>
        </is>
      </c>
      <c r="C6" s="12" t="inlineStr">
        <is>
          <t>Se pasa del tiempo o salta partes del guion</t>
        </is>
      </c>
      <c r="D6" s="12" t="inlineStr">
        <is>
          <t>No presenta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2026-10-09T15:42:51Z</dcterms:created>
  <dcterms:modified xmlns:dcterms="http://purl.org/dc/terms/" xmlns:xsi="http://www.w3.org/2001/XMLSchema-instance" xsi:type="dcterms:W3CDTF">2026-10-09T15:42:51Z</dcterms:modified>
</cp:coreProperties>
</file>